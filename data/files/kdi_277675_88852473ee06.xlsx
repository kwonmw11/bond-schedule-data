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국채기금팀\01_국채계\★08. 물가연동계수(2007~)\"/>
    </mc:Choice>
  </mc:AlternateContent>
  <xr:revisionPtr revIDLastSave="0" documentId="13_ncr:1_{E71387E6-6883-4589-8E70-6B13AE92267C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2026년 3월" sheetId="9" r:id="rId1"/>
  </sheets>
  <definedNames>
    <definedName name="_xlnm.Print_Area" localSheetId="0">'2026년 3월'!$A$1:$H$95</definedName>
  </definedNames>
  <calcPr calcId="191029"/>
</workbook>
</file>

<file path=xl/calcChain.xml><?xml version="1.0" encoding="utf-8"?>
<calcChain xmlns="http://schemas.openxmlformats.org/spreadsheetml/2006/main">
  <c r="G6" i="9" l="1"/>
  <c r="H17" i="9" l="1"/>
  <c r="H18" i="9" l="1"/>
  <c r="A2" i="9"/>
  <c r="H19" i="9" l="1"/>
  <c r="E16" i="9"/>
  <c r="B10" i="9"/>
  <c r="H20" i="9" l="1"/>
  <c r="G7" i="9"/>
  <c r="H21" i="9" l="1"/>
  <c r="C12" i="9"/>
  <c r="C14" i="9" s="1"/>
  <c r="H22" i="9" l="1"/>
  <c r="D14" i="9"/>
  <c r="D16" i="9" s="1"/>
  <c r="C16" i="9"/>
  <c r="B12" i="9"/>
  <c r="B14" i="9" s="1"/>
  <c r="B16" i="9" s="1"/>
  <c r="H23" i="9" l="1"/>
  <c r="H24" i="9" l="1"/>
  <c r="H25" i="9" l="1"/>
  <c r="H26" i="9" l="1"/>
  <c r="H27" i="9" l="1"/>
  <c r="H28" i="9" l="1"/>
  <c r="H29" i="9" l="1"/>
  <c r="H30" i="9" l="1"/>
  <c r="H31" i="9" l="1"/>
  <c r="H32" i="9" l="1"/>
  <c r="H33" i="9" l="1"/>
  <c r="H34" i="9" l="1"/>
  <c r="H35" i="9" l="1"/>
  <c r="H36" i="9" l="1"/>
  <c r="H37" i="9" l="1"/>
  <c r="H38" i="9" l="1"/>
  <c r="H39" i="9" l="1"/>
  <c r="H40" i="9" l="1"/>
  <c r="H41" i="9" l="1"/>
  <c r="H42" i="9" l="1"/>
  <c r="H43" i="9" l="1"/>
  <c r="H44" i="9" l="1"/>
  <c r="H45" i="9" l="1"/>
  <c r="H46" i="9" l="1"/>
  <c r="G46" i="9" l="1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E39" i="9" l="1"/>
  <c r="B39" i="9"/>
  <c r="D39" i="9"/>
  <c r="C39" i="9"/>
  <c r="F39" i="9"/>
  <c r="E31" i="9"/>
  <c r="B31" i="9"/>
  <c r="C31" i="9"/>
  <c r="D31" i="9"/>
  <c r="F31" i="9"/>
  <c r="B23" i="9"/>
  <c r="C23" i="9"/>
  <c r="F23" i="9"/>
  <c r="E23" i="9"/>
  <c r="D23" i="9"/>
  <c r="D46" i="9"/>
  <c r="B46" i="9"/>
  <c r="F46" i="9"/>
  <c r="C46" i="9"/>
  <c r="E46" i="9"/>
  <c r="E38" i="9"/>
  <c r="C38" i="9"/>
  <c r="F38" i="9"/>
  <c r="B38" i="9"/>
  <c r="D38" i="9"/>
  <c r="E30" i="9"/>
  <c r="D30" i="9"/>
  <c r="B30" i="9"/>
  <c r="C30" i="9"/>
  <c r="F30" i="9"/>
  <c r="F22" i="9"/>
  <c r="B22" i="9"/>
  <c r="D22" i="9"/>
  <c r="C22" i="9"/>
  <c r="E22" i="9"/>
  <c r="F45" i="9"/>
  <c r="E45" i="9"/>
  <c r="C45" i="9"/>
  <c r="B45" i="9"/>
  <c r="D45" i="9"/>
  <c r="D37" i="9"/>
  <c r="F37" i="9"/>
  <c r="B37" i="9"/>
  <c r="E37" i="9"/>
  <c r="C37" i="9"/>
  <c r="C29" i="9"/>
  <c r="F29" i="9"/>
  <c r="D29" i="9"/>
  <c r="E29" i="9"/>
  <c r="B29" i="9"/>
  <c r="B21" i="9"/>
  <c r="D21" i="9"/>
  <c r="C21" i="9"/>
  <c r="F21" i="9"/>
  <c r="E21" i="9"/>
  <c r="D44" i="9"/>
  <c r="F44" i="9"/>
  <c r="B44" i="9"/>
  <c r="C44" i="9"/>
  <c r="E44" i="9"/>
  <c r="B36" i="9"/>
  <c r="D36" i="9"/>
  <c r="E36" i="9"/>
  <c r="C36" i="9"/>
  <c r="F36" i="9"/>
  <c r="D28" i="9"/>
  <c r="F28" i="9"/>
  <c r="C28" i="9"/>
  <c r="B28" i="9"/>
  <c r="E28" i="9"/>
  <c r="B20" i="9"/>
  <c r="C20" i="9"/>
  <c r="E20" i="9"/>
  <c r="D20" i="9"/>
  <c r="F20" i="9"/>
  <c r="F43" i="9"/>
  <c r="E43" i="9"/>
  <c r="C43" i="9"/>
  <c r="D43" i="9"/>
  <c r="B43" i="9"/>
  <c r="D35" i="9"/>
  <c r="F35" i="9"/>
  <c r="B35" i="9"/>
  <c r="E35" i="9"/>
  <c r="C35" i="9"/>
  <c r="E27" i="9"/>
  <c r="B27" i="9"/>
  <c r="D27" i="9"/>
  <c r="F27" i="9"/>
  <c r="C27" i="9"/>
  <c r="D19" i="9"/>
  <c r="C19" i="9"/>
  <c r="E19" i="9"/>
  <c r="B19" i="9"/>
  <c r="F19" i="9"/>
  <c r="E42" i="9"/>
  <c r="F42" i="9"/>
  <c r="C42" i="9"/>
  <c r="B42" i="9"/>
  <c r="D42" i="9"/>
  <c r="E34" i="9"/>
  <c r="B34" i="9"/>
  <c r="F34" i="9"/>
  <c r="D34" i="9"/>
  <c r="C34" i="9"/>
  <c r="E26" i="9"/>
  <c r="F26" i="9"/>
  <c r="C26" i="9"/>
  <c r="D26" i="9"/>
  <c r="B26" i="9"/>
  <c r="F18" i="9"/>
  <c r="C18" i="9"/>
  <c r="E18" i="9"/>
  <c r="B18" i="9"/>
  <c r="D18" i="9"/>
  <c r="F41" i="9"/>
  <c r="C41" i="9"/>
  <c r="B41" i="9"/>
  <c r="D41" i="9"/>
  <c r="E41" i="9"/>
  <c r="B33" i="9"/>
  <c r="C33" i="9"/>
  <c r="E33" i="9"/>
  <c r="D33" i="9"/>
  <c r="F33" i="9"/>
  <c r="B25" i="9"/>
  <c r="F25" i="9"/>
  <c r="E25" i="9"/>
  <c r="D25" i="9"/>
  <c r="C25" i="9"/>
  <c r="D17" i="9"/>
  <c r="B17" i="9"/>
  <c r="C17" i="9"/>
  <c r="E17" i="9"/>
  <c r="F17" i="9"/>
  <c r="B40" i="9"/>
  <c r="E40" i="9"/>
  <c r="D40" i="9"/>
  <c r="C40" i="9"/>
  <c r="F40" i="9"/>
  <c r="F32" i="9"/>
  <c r="C32" i="9"/>
  <c r="D32" i="9"/>
  <c r="B32" i="9"/>
  <c r="E32" i="9"/>
  <c r="B24" i="9"/>
  <c r="D24" i="9"/>
  <c r="F24" i="9"/>
  <c r="C24" i="9"/>
  <c r="E24" i="9"/>
</calcChain>
</file>

<file path=xl/sharedStrings.xml><?xml version="1.0" encoding="utf-8"?>
<sst xmlns="http://schemas.openxmlformats.org/spreadsheetml/2006/main" count="94" uniqueCount="79">
  <si>
    <t>101.45/111.35</t>
  </si>
  <si>
    <t>물가지수연동채권 월별 종목별 물가연동계수</t>
    <phoneticPr fontId="5" type="noConversion"/>
  </si>
  <si>
    <t>숨기기</t>
    <phoneticPr fontId="5" type="noConversion"/>
  </si>
  <si>
    <t>종     목</t>
    <phoneticPr fontId="5" type="noConversion"/>
  </si>
  <si>
    <t>01000-2606-L100</t>
    <phoneticPr fontId="5" type="noConversion"/>
  </si>
  <si>
    <t>01750-2806-L100</t>
    <phoneticPr fontId="5" type="noConversion"/>
  </si>
  <si>
    <t>CPI 해당월 및 지수</t>
    <phoneticPr fontId="5" type="noConversion"/>
  </si>
  <si>
    <t>CPI</t>
    <phoneticPr fontId="5" type="noConversion"/>
  </si>
  <si>
    <t>월별</t>
    <phoneticPr fontId="5" type="noConversion"/>
  </si>
  <si>
    <t>발행일자</t>
    <phoneticPr fontId="5" type="noConversion"/>
  </si>
  <si>
    <t>2016.06.10</t>
    <phoneticPr fontId="5" type="noConversion"/>
  </si>
  <si>
    <t>2018.06.10</t>
    <phoneticPr fontId="5" type="noConversion"/>
  </si>
  <si>
    <t>발행일 참조지수
(2010=100 기준)</t>
    <phoneticPr fontId="5" type="noConversion"/>
  </si>
  <si>
    <t>물가지수 변환계수
(2012 가중치 개편)</t>
    <phoneticPr fontId="5" type="noConversion"/>
  </si>
  <si>
    <t>발행일 참조지수
 (2012 가중치 개편)</t>
    <phoneticPr fontId="5" type="noConversion"/>
  </si>
  <si>
    <t>물가지수 변환계수
(2015 기준년 개편)</t>
    <phoneticPr fontId="5" type="noConversion"/>
  </si>
  <si>
    <t>발행일 참조지수
(2015=100 기준)</t>
    <phoneticPr fontId="5" type="noConversion"/>
  </si>
  <si>
    <t>물가지수 변환계수 
(2010년 기준)</t>
    <phoneticPr fontId="5" type="noConversion"/>
  </si>
  <si>
    <t>-----</t>
    <phoneticPr fontId="5" type="noConversion"/>
  </si>
  <si>
    <t xml:space="preserve">               단, 2011년 10월은 舊 기준(2005년 기준) 물가지수가 발표된 마지막 달임</t>
    <phoneticPr fontId="5" type="noConversion"/>
  </si>
  <si>
    <t xml:space="preserve">          산  출  식 : </t>
    <phoneticPr fontId="5" type="noConversion"/>
  </si>
  <si>
    <t>물가지수 변환계수
(2012년 가중치 개편)</t>
    <phoneticPr fontId="5" type="noConversion"/>
  </si>
  <si>
    <t>------</t>
    <phoneticPr fontId="5" type="noConversion"/>
  </si>
  <si>
    <t xml:space="preserve">              - 2013년 11월은 舊 기준(가중치 개편 전 기준) 물가지수가 발표된 마지막 달임</t>
    <phoneticPr fontId="5" type="noConversion"/>
  </si>
  <si>
    <t>물가지수 변환계수
(2015년 기준)</t>
    <phoneticPr fontId="5" type="noConversion"/>
  </si>
  <si>
    <t xml:space="preserve">               단, 2016년 11월은 舊 기준(2010년 기준) 물가지수가 발표된 마지막 달임</t>
    <phoneticPr fontId="5" type="noConversion"/>
  </si>
  <si>
    <t>물가지수 변환계수
(2017 가중치 개편)</t>
    <phoneticPr fontId="5" type="noConversion"/>
  </si>
  <si>
    <t>발행일 참조지수
 (2017 가중치 개편)</t>
    <phoneticPr fontId="5" type="noConversion"/>
  </si>
  <si>
    <t>물가지수 변환계수
(2017년 가중치 개편)</t>
    <phoneticPr fontId="5" type="noConversion"/>
  </si>
  <si>
    <t>------</t>
  </si>
  <si>
    <t>104.71/104.73</t>
    <phoneticPr fontId="5" type="noConversion"/>
  </si>
  <si>
    <t xml:space="preserve">              - 2018년 11월은 舊 기준(가중치 개편 전 기준) 물가지수가 발표된 마지막 달임</t>
    <phoneticPr fontId="5" type="noConversion"/>
  </si>
  <si>
    <t>01125-3006-L100</t>
    <phoneticPr fontId="5" type="noConversion"/>
  </si>
  <si>
    <t>2020.06.10</t>
    <phoneticPr fontId="5" type="noConversion"/>
  </si>
  <si>
    <t>물가지수 변환계수
(2020 기준년 개편)</t>
    <phoneticPr fontId="5" type="noConversion"/>
  </si>
  <si>
    <t>발행일 참조지수
(2020=100 기준)</t>
    <phoneticPr fontId="5" type="noConversion"/>
  </si>
  <si>
    <t>물가지수 변환계수
(2020년 기준)</t>
    <phoneticPr fontId="5" type="noConversion"/>
  </si>
  <si>
    <t xml:space="preserve">               단, 2021년 11월은 舊 기준(2015년 기준) 물가지수가 발표된 마지막 달임</t>
    <phoneticPr fontId="5" type="noConversion"/>
  </si>
  <si>
    <t>CPI  기준년도     2020=100</t>
    <phoneticPr fontId="5" type="noConversion"/>
  </si>
  <si>
    <t>103.87/109.41</t>
  </si>
  <si>
    <t>2022.06.10</t>
  </si>
  <si>
    <t>01625-3206-L100</t>
    <phoneticPr fontId="5" type="noConversion"/>
  </si>
  <si>
    <t>물가지수 변환계수
(2022 가중치 개편)</t>
    <phoneticPr fontId="5" type="noConversion"/>
  </si>
  <si>
    <t>발행일 참조지수
 (2022 가중치 개편)</t>
    <phoneticPr fontId="5" type="noConversion"/>
  </si>
  <si>
    <t>물가지수 변환계수
(2022년 가중치 개편)</t>
    <phoneticPr fontId="5" type="noConversion"/>
  </si>
  <si>
    <t xml:space="preserve">              - 2023년 11월은 舊 기준(가중치 개편 전 기준) 물가지수가 발표된 마지막 달임</t>
    <phoneticPr fontId="5" type="noConversion"/>
  </si>
  <si>
    <t>112.67/112.74</t>
    <phoneticPr fontId="5" type="noConversion"/>
  </si>
  <si>
    <t>2024.06.10</t>
    <phoneticPr fontId="5" type="noConversion"/>
  </si>
  <si>
    <t>00750-3406-L100</t>
    <phoneticPr fontId="5" type="noConversion"/>
  </si>
  <si>
    <t>2026.4.1</t>
    <phoneticPr fontId="5" type="noConversion"/>
  </si>
  <si>
    <t>2026.4.2</t>
  </si>
  <si>
    <t>2026.4.3</t>
  </si>
  <si>
    <t>2026.4.4</t>
  </si>
  <si>
    <t>2026.4.5</t>
  </si>
  <si>
    <t>2026.4.6</t>
  </si>
  <si>
    <t>2026.4.7</t>
  </si>
  <si>
    <t>2026.4.8</t>
  </si>
  <si>
    <t>2026.4.9</t>
  </si>
  <si>
    <t>2026.4.10</t>
  </si>
  <si>
    <t>2026.4.11</t>
  </si>
  <si>
    <t>2026.4.12</t>
  </si>
  <si>
    <t>2026.4.13</t>
  </si>
  <si>
    <t>2026.4.14</t>
  </si>
  <si>
    <t>2026.4.15</t>
  </si>
  <si>
    <t>2026.4.16</t>
  </si>
  <si>
    <t>2026.4.17</t>
  </si>
  <si>
    <t>2026.4.18</t>
  </si>
  <si>
    <t>2026.4.19</t>
  </si>
  <si>
    <t>2026.4.20</t>
  </si>
  <si>
    <t>2026.4.21</t>
  </si>
  <si>
    <t>2026.4.22</t>
  </si>
  <si>
    <t>2026.4.23</t>
  </si>
  <si>
    <t>2026.4.24</t>
  </si>
  <si>
    <t>2026.4.25</t>
  </si>
  <si>
    <t>2026.4.26</t>
  </si>
  <si>
    <t>2026.4.27</t>
  </si>
  <si>
    <t>2026.4.28</t>
  </si>
  <si>
    <t>2026.4.29</t>
  </si>
  <si>
    <t>2026.4.30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</si>
</sst>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0_ "/>
    <numFmt numFmtId="177" formatCode="0.0_ "/>
    <numFmt numFmtId="178" formatCode="yyyy/mm"/>
    <numFmt numFmtId="179" formatCode="0.00_ "/>
    <numFmt numFmtId="180" formatCode="0.00000"/>
    <numFmt numFmtId="181" formatCode="yyyy\.mm\.dd"/>
    <numFmt numFmtId="182" formatCode="\(yyyy&quot;년&quot;\ m&quot;월&quot;\)"/>
  </numFmts>
  <fonts count="1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11.5"/>
      <name val="돋움"/>
      <family val="3"/>
      <charset val="129"/>
    </font>
    <font>
      <b/>
      <sz val="11.5"/>
      <name val="돋움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FF0000"/>
      <name val="돋움"/>
      <family val="3"/>
      <charset val="129"/>
    </font>
    <font>
      <sz val="10"/>
      <name val="돋움"/>
      <family val="3"/>
      <charset val="129"/>
    </font>
    <font>
      <sz val="14"/>
      <name val="돋움"/>
      <family val="3"/>
      <charset val="129"/>
    </font>
    <font>
      <b/>
      <u/>
      <sz val="16"/>
      <name val="돋움"/>
      <family val="3"/>
      <charset val="129"/>
    </font>
    <font>
      <sz val="12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2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5FB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6" borderId="7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8" fillId="6" borderId="4" xfId="0" applyFont="1" applyFill="1" applyBorder="1">
      <alignment vertical="center"/>
    </xf>
    <xf numFmtId="0" fontId="8" fillId="6" borderId="6" xfId="0" applyFont="1" applyFill="1" applyBorder="1">
      <alignment vertical="center"/>
    </xf>
    <xf numFmtId="179" fontId="0" fillId="0" borderId="0" xfId="0" applyNumberFormat="1" applyFill="1">
      <alignment vertical="center"/>
    </xf>
    <xf numFmtId="0" fontId="4" fillId="7" borderId="4" xfId="0" applyFont="1" applyFill="1" applyBorder="1" applyAlignment="1">
      <alignment horizontal="left" vertical="center"/>
    </xf>
    <xf numFmtId="0" fontId="4" fillId="7" borderId="0" xfId="0" quotePrefix="1" applyFont="1" applyFill="1" applyBorder="1" applyAlignment="1">
      <alignment horizontal="left" vertical="center"/>
    </xf>
    <xf numFmtId="0" fontId="4" fillId="7" borderId="6" xfId="0" quotePrefix="1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0" fillId="7" borderId="8" xfId="0" applyFont="1" applyFill="1" applyBorder="1" applyAlignment="1">
      <alignment horizontal="left" vertical="center"/>
    </xf>
    <xf numFmtId="0" fontId="0" fillId="7" borderId="9" xfId="0" applyFont="1" applyFill="1" applyBorder="1">
      <alignment vertical="center"/>
    </xf>
    <xf numFmtId="0" fontId="8" fillId="7" borderId="1" xfId="0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0" fillId="0" borderId="0" xfId="0" applyBorder="1">
      <alignment vertical="center"/>
    </xf>
    <xf numFmtId="178" fontId="0" fillId="4" borderId="0" xfId="0" quotePrefix="1" applyNumberFormat="1" applyFill="1" applyBorder="1" applyAlignment="1">
      <alignment horizontal="center" vertical="center"/>
    </xf>
    <xf numFmtId="178" fontId="0" fillId="0" borderId="0" xfId="0" quotePrefix="1" applyNumberFormat="1" applyFill="1" applyBorder="1" applyAlignment="1">
      <alignment horizontal="center" vertical="center"/>
    </xf>
    <xf numFmtId="177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9" fillId="0" borderId="0" xfId="0" applyFont="1" applyAlignment="1">
      <alignment vertical="top"/>
    </xf>
    <xf numFmtId="0" fontId="4" fillId="7" borderId="1" xfId="0" applyFont="1" applyFill="1" applyBorder="1" applyAlignment="1">
      <alignment vertical="center" wrapText="1"/>
    </xf>
    <xf numFmtId="176" fontId="8" fillId="7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shrinkToFit="1"/>
    </xf>
    <xf numFmtId="176" fontId="8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Border="1">
      <alignment vertical="center"/>
    </xf>
    <xf numFmtId="0" fontId="13" fillId="0" borderId="8" xfId="0" applyFont="1" applyBorder="1">
      <alignment vertical="center"/>
    </xf>
    <xf numFmtId="181" fontId="8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left"/>
    </xf>
    <xf numFmtId="0" fontId="4" fillId="6" borderId="0" xfId="0" quotePrefix="1" applyFont="1" applyFill="1" applyBorder="1" applyAlignment="1">
      <alignment horizontal="left" vertical="center"/>
    </xf>
    <xf numFmtId="2" fontId="4" fillId="6" borderId="0" xfId="0" applyNumberFormat="1" applyFont="1" applyFill="1" applyBorder="1" applyAlignment="1">
      <alignment horizontal="left" vertical="top"/>
    </xf>
    <xf numFmtId="0" fontId="0" fillId="6" borderId="8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 wrapText="1"/>
    </xf>
    <xf numFmtId="180" fontId="8" fillId="8" borderId="1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center"/>
    </xf>
    <xf numFmtId="0" fontId="4" fillId="8" borderId="0" xfId="0" quotePrefix="1" applyFont="1" applyFill="1" applyBorder="1" applyAlignment="1">
      <alignment horizontal="left" vertical="center"/>
    </xf>
    <xf numFmtId="0" fontId="4" fillId="8" borderId="6" xfId="0" quotePrefix="1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top"/>
    </xf>
    <xf numFmtId="0" fontId="4" fillId="8" borderId="6" xfId="0" applyFont="1" applyFill="1" applyBorder="1" applyAlignment="1">
      <alignment horizontal="left" vertical="center"/>
    </xf>
    <xf numFmtId="0" fontId="4" fillId="8" borderId="7" xfId="0" applyFont="1" applyFill="1" applyBorder="1" applyAlignment="1">
      <alignment horizontal="left" vertical="center"/>
    </xf>
    <xf numFmtId="0" fontId="0" fillId="8" borderId="8" xfId="0" applyFont="1" applyFill="1" applyBorder="1" applyAlignment="1">
      <alignment horizontal="left" vertical="center"/>
    </xf>
    <xf numFmtId="0" fontId="0" fillId="8" borderId="9" xfId="0" applyFont="1" applyFill="1" applyBorder="1">
      <alignment vertical="center"/>
    </xf>
    <xf numFmtId="0" fontId="9" fillId="6" borderId="5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0" fillId="6" borderId="9" xfId="0" applyFont="1" applyFill="1" applyBorder="1">
      <alignment vertical="center"/>
    </xf>
    <xf numFmtId="179" fontId="4" fillId="6" borderId="3" xfId="0" applyNumberFormat="1" applyFont="1" applyFill="1" applyBorder="1" applyAlignment="1">
      <alignment horizontal="left"/>
    </xf>
    <xf numFmtId="0" fontId="0" fillId="6" borderId="4" xfId="0" applyFont="1" applyFill="1" applyBorder="1">
      <alignment vertical="center"/>
    </xf>
    <xf numFmtId="0" fontId="0" fillId="6" borderId="6" xfId="0" applyFont="1" applyFill="1" applyBorder="1">
      <alignment vertical="center"/>
    </xf>
    <xf numFmtId="14" fontId="8" fillId="0" borderId="1" xfId="0" applyNumberFormat="1" applyFont="1" applyFill="1" applyBorder="1" applyAlignment="1">
      <alignment horizontal="center" vertical="center" shrinkToFit="1"/>
    </xf>
    <xf numFmtId="181" fontId="8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179" fontId="4" fillId="7" borderId="0" xfId="0" applyNumberFormat="1" applyFont="1" applyFill="1" applyBorder="1" applyAlignment="1">
      <alignment horizontal="left" vertical="top"/>
    </xf>
    <xf numFmtId="179" fontId="4" fillId="7" borderId="3" xfId="0" applyNumberFormat="1" applyFont="1" applyFill="1" applyBorder="1" applyAlignment="1">
      <alignment horizontal="left"/>
    </xf>
    <xf numFmtId="179" fontId="12" fillId="3" borderId="0" xfId="0" quotePrefix="1" applyNumberFormat="1" applyFont="1" applyFill="1">
      <alignment vertical="center"/>
    </xf>
    <xf numFmtId="0" fontId="4" fillId="8" borderId="5" xfId="0" applyFont="1" applyFill="1" applyBorder="1" applyAlignment="1">
      <alignment horizontal="center" vertical="center" wrapText="1"/>
    </xf>
    <xf numFmtId="0" fontId="10" fillId="8" borderId="0" xfId="0" quotePrefix="1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 vertical="top"/>
    </xf>
    <xf numFmtId="0" fontId="4" fillId="6" borderId="5" xfId="0" applyFont="1" applyFill="1" applyBorder="1" applyAlignment="1">
      <alignment horizontal="center" vertical="center" wrapText="1"/>
    </xf>
    <xf numFmtId="0" fontId="10" fillId="6" borderId="0" xfId="0" quotePrefix="1" applyFont="1" applyFill="1" applyBorder="1" applyAlignment="1">
      <alignment horizontal="left" vertical="top"/>
    </xf>
    <xf numFmtId="0" fontId="18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 vertical="top"/>
    </xf>
    <xf numFmtId="0" fontId="10" fillId="8" borderId="3" xfId="0" applyFont="1" applyFill="1" applyBorder="1" applyAlignment="1">
      <alignment horizontal="left"/>
    </xf>
    <xf numFmtId="0" fontId="10" fillId="8" borderId="0" xfId="0" quotePrefix="1" applyFont="1" applyFill="1" applyBorder="1" applyAlignment="1">
      <alignment horizontal="left" vertical="center"/>
    </xf>
    <xf numFmtId="0" fontId="10" fillId="8" borderId="0" xfId="0" quotePrefix="1" applyFont="1" applyFill="1" applyBorder="1" applyAlignment="1">
      <alignment horizontal="left" vertical="top"/>
    </xf>
    <xf numFmtId="0" fontId="10" fillId="6" borderId="3" xfId="0" applyFont="1" applyFill="1" applyBorder="1" applyAlignment="1">
      <alignment horizontal="left"/>
    </xf>
    <xf numFmtId="0" fontId="10" fillId="6" borderId="0" xfId="0" quotePrefix="1" applyFont="1" applyFill="1" applyBorder="1" applyAlignment="1">
      <alignment horizontal="left" vertical="center"/>
    </xf>
    <xf numFmtId="0" fontId="10" fillId="6" borderId="0" xfId="0" quotePrefix="1" applyFont="1" applyFill="1" applyBorder="1" applyAlignment="1">
      <alignment horizontal="left" vertical="top"/>
    </xf>
    <xf numFmtId="0" fontId="4" fillId="7" borderId="3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top"/>
    </xf>
    <xf numFmtId="179" fontId="12" fillId="9" borderId="0" xfId="0" quotePrefix="1" applyNumberFormat="1" applyFont="1" applyFill="1">
      <alignment vertical="center"/>
    </xf>
    <xf numFmtId="176" fontId="8" fillId="5" borderId="11" xfId="0" applyNumberFormat="1" applyFont="1" applyFill="1" applyBorder="1" applyAlignment="1">
      <alignment horizontal="center" vertical="center"/>
    </xf>
    <xf numFmtId="0" fontId="12" fillId="9" borderId="0" xfId="0" applyFont="1" applyFill="1" applyAlignment="1">
      <alignment horizontal="right" vertical="center"/>
    </xf>
    <xf numFmtId="0" fontId="12" fillId="9" borderId="0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</cellXfs>
  <cellStyles count="5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5" xfId="4" xr:uid="{00000000-0005-0000-0000-000004000000}"/>
  </cellStyles>
  <dxfs count="0"/>
  <tableStyles count="0" defaultTableStyle="TableStyleMedium2" defaultPivotStyle="PivotStyleLight16"/>
  <colors>
    <mruColors>
      <color rgb="FFFFFFCC"/>
      <color rgb="FFA5FB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A5D3-B8E1-4BC1-80CD-471E24665FB1}">
  <sheetPr>
    <pageSetUpPr fitToPage="1"/>
  </sheetPr>
  <dimension ref="A1:AH94"/>
  <sheetViews>
    <sheetView tabSelected="1" view="pageBreakPreview" zoomScale="80" zoomScaleNormal="90" zoomScaleSheetLayoutView="80" workbookViewId="0">
      <pane ySplit="16" topLeftCell="A17" activePane="bottomLeft" state="frozen"/>
      <selection pane="bottomLeft" activeCell="A4" sqref="A4"/>
    </sheetView>
  </sheetViews>
  <sheetFormatPr defaultRowHeight="17.25" customHeight="1" x14ac:dyDescent="0.15"/>
  <cols>
    <col min="1" max="1" width="21.88671875" customWidth="1"/>
    <col min="2" max="6" width="19.109375" customWidth="1"/>
    <col min="7" max="7" width="19.6640625" customWidth="1"/>
    <col min="8" max="8" width="7.6640625" hidden="1" customWidth="1"/>
    <col min="9" max="9" width="8.44140625" style="23" hidden="1" customWidth="1"/>
    <col min="10" max="10" width="8.77734375" style="23" customWidth="1"/>
    <col min="11" max="11" width="8.77734375" customWidth="1"/>
    <col min="12" max="12" width="8.77734375" style="23" customWidth="1"/>
    <col min="13" max="13" width="8.77734375" customWidth="1"/>
    <col min="181" max="181" width="16.88671875" customWidth="1"/>
    <col min="182" max="184" width="19.21875" customWidth="1"/>
    <col min="185" max="185" width="18.33203125" bestFit="1" customWidth="1"/>
    <col min="186" max="186" width="14.21875" customWidth="1"/>
    <col min="187" max="187" width="8.88671875" customWidth="1"/>
    <col min="188" max="188" width="18.109375" customWidth="1"/>
    <col min="189" max="201" width="8.88671875" customWidth="1"/>
    <col min="437" max="437" width="16.88671875" customWidth="1"/>
    <col min="438" max="440" width="19.21875" customWidth="1"/>
    <col min="441" max="441" width="18.33203125" bestFit="1" customWidth="1"/>
    <col min="442" max="442" width="14.21875" customWidth="1"/>
    <col min="443" max="443" width="8.88671875" customWidth="1"/>
    <col min="444" max="444" width="18.109375" customWidth="1"/>
    <col min="445" max="457" width="8.88671875" customWidth="1"/>
    <col min="693" max="693" width="16.88671875" customWidth="1"/>
    <col min="694" max="696" width="19.21875" customWidth="1"/>
    <col min="697" max="697" width="18.33203125" bestFit="1" customWidth="1"/>
    <col min="698" max="698" width="14.21875" customWidth="1"/>
    <col min="699" max="699" width="8.88671875" customWidth="1"/>
    <col min="700" max="700" width="18.109375" customWidth="1"/>
    <col min="701" max="713" width="8.88671875" customWidth="1"/>
    <col min="949" max="949" width="16.88671875" customWidth="1"/>
    <col min="950" max="952" width="19.21875" customWidth="1"/>
    <col min="953" max="953" width="18.33203125" bestFit="1" customWidth="1"/>
    <col min="954" max="954" width="14.21875" customWidth="1"/>
    <col min="955" max="955" width="8.88671875" customWidth="1"/>
    <col min="956" max="956" width="18.109375" customWidth="1"/>
    <col min="957" max="969" width="8.88671875" customWidth="1"/>
    <col min="1205" max="1205" width="16.88671875" customWidth="1"/>
    <col min="1206" max="1208" width="19.21875" customWidth="1"/>
    <col min="1209" max="1209" width="18.33203125" bestFit="1" customWidth="1"/>
    <col min="1210" max="1210" width="14.21875" customWidth="1"/>
    <col min="1211" max="1211" width="8.88671875" customWidth="1"/>
    <col min="1212" max="1212" width="18.109375" customWidth="1"/>
    <col min="1213" max="1225" width="8.88671875" customWidth="1"/>
    <col min="1461" max="1461" width="16.88671875" customWidth="1"/>
    <col min="1462" max="1464" width="19.21875" customWidth="1"/>
    <col min="1465" max="1465" width="18.33203125" bestFit="1" customWidth="1"/>
    <col min="1466" max="1466" width="14.21875" customWidth="1"/>
    <col min="1467" max="1467" width="8.88671875" customWidth="1"/>
    <col min="1468" max="1468" width="18.109375" customWidth="1"/>
    <col min="1469" max="1481" width="8.88671875" customWidth="1"/>
    <col min="1717" max="1717" width="16.88671875" customWidth="1"/>
    <col min="1718" max="1720" width="19.21875" customWidth="1"/>
    <col min="1721" max="1721" width="18.33203125" bestFit="1" customWidth="1"/>
    <col min="1722" max="1722" width="14.21875" customWidth="1"/>
    <col min="1723" max="1723" width="8.88671875" customWidth="1"/>
    <col min="1724" max="1724" width="18.109375" customWidth="1"/>
    <col min="1725" max="1737" width="8.88671875" customWidth="1"/>
    <col min="1973" max="1973" width="16.88671875" customWidth="1"/>
    <col min="1974" max="1976" width="19.21875" customWidth="1"/>
    <col min="1977" max="1977" width="18.33203125" bestFit="1" customWidth="1"/>
    <col min="1978" max="1978" width="14.21875" customWidth="1"/>
    <col min="1979" max="1979" width="8.88671875" customWidth="1"/>
    <col min="1980" max="1980" width="18.109375" customWidth="1"/>
    <col min="1981" max="1993" width="8.88671875" customWidth="1"/>
    <col min="2229" max="2229" width="16.88671875" customWidth="1"/>
    <col min="2230" max="2232" width="19.21875" customWidth="1"/>
    <col min="2233" max="2233" width="18.33203125" bestFit="1" customWidth="1"/>
    <col min="2234" max="2234" width="14.21875" customWidth="1"/>
    <col min="2235" max="2235" width="8.88671875" customWidth="1"/>
    <col min="2236" max="2236" width="18.109375" customWidth="1"/>
    <col min="2237" max="2249" width="8.88671875" customWidth="1"/>
    <col min="2485" max="2485" width="16.88671875" customWidth="1"/>
    <col min="2486" max="2488" width="19.21875" customWidth="1"/>
    <col min="2489" max="2489" width="18.33203125" bestFit="1" customWidth="1"/>
    <col min="2490" max="2490" width="14.21875" customWidth="1"/>
    <col min="2491" max="2491" width="8.88671875" customWidth="1"/>
    <col min="2492" max="2492" width="18.109375" customWidth="1"/>
    <col min="2493" max="2505" width="8.88671875" customWidth="1"/>
    <col min="2741" max="2741" width="16.88671875" customWidth="1"/>
    <col min="2742" max="2744" width="19.21875" customWidth="1"/>
    <col min="2745" max="2745" width="18.33203125" bestFit="1" customWidth="1"/>
    <col min="2746" max="2746" width="14.21875" customWidth="1"/>
    <col min="2747" max="2747" width="8.88671875" customWidth="1"/>
    <col min="2748" max="2748" width="18.109375" customWidth="1"/>
    <col min="2749" max="2761" width="8.88671875" customWidth="1"/>
    <col min="2997" max="2997" width="16.88671875" customWidth="1"/>
    <col min="2998" max="3000" width="19.21875" customWidth="1"/>
    <col min="3001" max="3001" width="18.33203125" bestFit="1" customWidth="1"/>
    <col min="3002" max="3002" width="14.21875" customWidth="1"/>
    <col min="3003" max="3003" width="8.88671875" customWidth="1"/>
    <col min="3004" max="3004" width="18.109375" customWidth="1"/>
    <col min="3005" max="3017" width="8.88671875" customWidth="1"/>
    <col min="3253" max="3253" width="16.88671875" customWidth="1"/>
    <col min="3254" max="3256" width="19.21875" customWidth="1"/>
    <col min="3257" max="3257" width="18.33203125" bestFit="1" customWidth="1"/>
    <col min="3258" max="3258" width="14.21875" customWidth="1"/>
    <col min="3259" max="3259" width="8.88671875" customWidth="1"/>
    <col min="3260" max="3260" width="18.109375" customWidth="1"/>
    <col min="3261" max="3273" width="8.88671875" customWidth="1"/>
    <col min="3509" max="3509" width="16.88671875" customWidth="1"/>
    <col min="3510" max="3512" width="19.21875" customWidth="1"/>
    <col min="3513" max="3513" width="18.33203125" bestFit="1" customWidth="1"/>
    <col min="3514" max="3514" width="14.21875" customWidth="1"/>
    <col min="3515" max="3515" width="8.88671875" customWidth="1"/>
    <col min="3516" max="3516" width="18.109375" customWidth="1"/>
    <col min="3517" max="3529" width="8.88671875" customWidth="1"/>
    <col min="3765" max="3765" width="16.88671875" customWidth="1"/>
    <col min="3766" max="3768" width="19.21875" customWidth="1"/>
    <col min="3769" max="3769" width="18.33203125" bestFit="1" customWidth="1"/>
    <col min="3770" max="3770" width="14.21875" customWidth="1"/>
    <col min="3771" max="3771" width="8.88671875" customWidth="1"/>
    <col min="3772" max="3772" width="18.109375" customWidth="1"/>
    <col min="3773" max="3785" width="8.88671875" customWidth="1"/>
    <col min="4021" max="4021" width="16.88671875" customWidth="1"/>
    <col min="4022" max="4024" width="19.21875" customWidth="1"/>
    <col min="4025" max="4025" width="18.33203125" bestFit="1" customWidth="1"/>
    <col min="4026" max="4026" width="14.21875" customWidth="1"/>
    <col min="4027" max="4027" width="8.88671875" customWidth="1"/>
    <col min="4028" max="4028" width="18.109375" customWidth="1"/>
    <col min="4029" max="4041" width="8.88671875" customWidth="1"/>
    <col min="4277" max="4277" width="16.88671875" customWidth="1"/>
    <col min="4278" max="4280" width="19.21875" customWidth="1"/>
    <col min="4281" max="4281" width="18.33203125" bestFit="1" customWidth="1"/>
    <col min="4282" max="4282" width="14.21875" customWidth="1"/>
    <col min="4283" max="4283" width="8.88671875" customWidth="1"/>
    <col min="4284" max="4284" width="18.109375" customWidth="1"/>
    <col min="4285" max="4297" width="8.88671875" customWidth="1"/>
    <col min="4533" max="4533" width="16.88671875" customWidth="1"/>
    <col min="4534" max="4536" width="19.21875" customWidth="1"/>
    <col min="4537" max="4537" width="18.33203125" bestFit="1" customWidth="1"/>
    <col min="4538" max="4538" width="14.21875" customWidth="1"/>
    <col min="4539" max="4539" width="8.88671875" customWidth="1"/>
    <col min="4540" max="4540" width="18.109375" customWidth="1"/>
    <col min="4541" max="4553" width="8.88671875" customWidth="1"/>
    <col min="4789" max="4789" width="16.88671875" customWidth="1"/>
    <col min="4790" max="4792" width="19.21875" customWidth="1"/>
    <col min="4793" max="4793" width="18.33203125" bestFit="1" customWidth="1"/>
    <col min="4794" max="4794" width="14.21875" customWidth="1"/>
    <col min="4795" max="4795" width="8.88671875" customWidth="1"/>
    <col min="4796" max="4796" width="18.109375" customWidth="1"/>
    <col min="4797" max="4809" width="8.88671875" customWidth="1"/>
    <col min="5045" max="5045" width="16.88671875" customWidth="1"/>
    <col min="5046" max="5048" width="19.21875" customWidth="1"/>
    <col min="5049" max="5049" width="18.33203125" bestFit="1" customWidth="1"/>
    <col min="5050" max="5050" width="14.21875" customWidth="1"/>
    <col min="5051" max="5051" width="8.88671875" customWidth="1"/>
    <col min="5052" max="5052" width="18.109375" customWidth="1"/>
    <col min="5053" max="5065" width="8.88671875" customWidth="1"/>
    <col min="5301" max="5301" width="16.88671875" customWidth="1"/>
    <col min="5302" max="5304" width="19.21875" customWidth="1"/>
    <col min="5305" max="5305" width="18.33203125" bestFit="1" customWidth="1"/>
    <col min="5306" max="5306" width="14.21875" customWidth="1"/>
    <col min="5307" max="5307" width="8.88671875" customWidth="1"/>
    <col min="5308" max="5308" width="18.109375" customWidth="1"/>
    <col min="5309" max="5321" width="8.88671875" customWidth="1"/>
    <col min="5557" max="5557" width="16.88671875" customWidth="1"/>
    <col min="5558" max="5560" width="19.21875" customWidth="1"/>
    <col min="5561" max="5561" width="18.33203125" bestFit="1" customWidth="1"/>
    <col min="5562" max="5562" width="14.21875" customWidth="1"/>
    <col min="5563" max="5563" width="8.88671875" customWidth="1"/>
    <col min="5564" max="5564" width="18.109375" customWidth="1"/>
    <col min="5565" max="5577" width="8.88671875" customWidth="1"/>
    <col min="5813" max="5813" width="16.88671875" customWidth="1"/>
    <col min="5814" max="5816" width="19.21875" customWidth="1"/>
    <col min="5817" max="5817" width="18.33203125" bestFit="1" customWidth="1"/>
    <col min="5818" max="5818" width="14.21875" customWidth="1"/>
    <col min="5819" max="5819" width="8.88671875" customWidth="1"/>
    <col min="5820" max="5820" width="18.109375" customWidth="1"/>
    <col min="5821" max="5833" width="8.88671875" customWidth="1"/>
    <col min="6069" max="6069" width="16.88671875" customWidth="1"/>
    <col min="6070" max="6072" width="19.21875" customWidth="1"/>
    <col min="6073" max="6073" width="18.33203125" bestFit="1" customWidth="1"/>
    <col min="6074" max="6074" width="14.21875" customWidth="1"/>
    <col min="6075" max="6075" width="8.88671875" customWidth="1"/>
    <col min="6076" max="6076" width="18.109375" customWidth="1"/>
    <col min="6077" max="6089" width="8.88671875" customWidth="1"/>
    <col min="6325" max="6325" width="16.88671875" customWidth="1"/>
    <col min="6326" max="6328" width="19.21875" customWidth="1"/>
    <col min="6329" max="6329" width="18.33203125" bestFit="1" customWidth="1"/>
    <col min="6330" max="6330" width="14.21875" customWidth="1"/>
    <col min="6331" max="6331" width="8.88671875" customWidth="1"/>
    <col min="6332" max="6332" width="18.109375" customWidth="1"/>
    <col min="6333" max="6345" width="8.88671875" customWidth="1"/>
    <col min="6581" max="6581" width="16.88671875" customWidth="1"/>
    <col min="6582" max="6584" width="19.21875" customWidth="1"/>
    <col min="6585" max="6585" width="18.33203125" bestFit="1" customWidth="1"/>
    <col min="6586" max="6586" width="14.21875" customWidth="1"/>
    <col min="6587" max="6587" width="8.88671875" customWidth="1"/>
    <col min="6588" max="6588" width="18.109375" customWidth="1"/>
    <col min="6589" max="6601" width="8.88671875" customWidth="1"/>
    <col min="6837" max="6837" width="16.88671875" customWidth="1"/>
    <col min="6838" max="6840" width="19.21875" customWidth="1"/>
    <col min="6841" max="6841" width="18.33203125" bestFit="1" customWidth="1"/>
    <col min="6842" max="6842" width="14.21875" customWidth="1"/>
    <col min="6843" max="6843" width="8.88671875" customWidth="1"/>
    <col min="6844" max="6844" width="18.109375" customWidth="1"/>
    <col min="6845" max="6857" width="8.88671875" customWidth="1"/>
    <col min="7093" max="7093" width="16.88671875" customWidth="1"/>
    <col min="7094" max="7096" width="19.21875" customWidth="1"/>
    <col min="7097" max="7097" width="18.33203125" bestFit="1" customWidth="1"/>
    <col min="7098" max="7098" width="14.21875" customWidth="1"/>
    <col min="7099" max="7099" width="8.88671875" customWidth="1"/>
    <col min="7100" max="7100" width="18.109375" customWidth="1"/>
    <col min="7101" max="7113" width="8.88671875" customWidth="1"/>
    <col min="7349" max="7349" width="16.88671875" customWidth="1"/>
    <col min="7350" max="7352" width="19.21875" customWidth="1"/>
    <col min="7353" max="7353" width="18.33203125" bestFit="1" customWidth="1"/>
    <col min="7354" max="7354" width="14.21875" customWidth="1"/>
    <col min="7355" max="7355" width="8.88671875" customWidth="1"/>
    <col min="7356" max="7356" width="18.109375" customWidth="1"/>
    <col min="7357" max="7369" width="8.88671875" customWidth="1"/>
    <col min="7605" max="7605" width="16.88671875" customWidth="1"/>
    <col min="7606" max="7608" width="19.21875" customWidth="1"/>
    <col min="7609" max="7609" width="18.33203125" bestFit="1" customWidth="1"/>
    <col min="7610" max="7610" width="14.21875" customWidth="1"/>
    <col min="7611" max="7611" width="8.88671875" customWidth="1"/>
    <col min="7612" max="7612" width="18.109375" customWidth="1"/>
    <col min="7613" max="7625" width="8.88671875" customWidth="1"/>
    <col min="7861" max="7861" width="16.88671875" customWidth="1"/>
    <col min="7862" max="7864" width="19.21875" customWidth="1"/>
    <col min="7865" max="7865" width="18.33203125" bestFit="1" customWidth="1"/>
    <col min="7866" max="7866" width="14.21875" customWidth="1"/>
    <col min="7867" max="7867" width="8.88671875" customWidth="1"/>
    <col min="7868" max="7868" width="18.109375" customWidth="1"/>
    <col min="7869" max="7881" width="8.88671875" customWidth="1"/>
    <col min="8117" max="8117" width="16.88671875" customWidth="1"/>
    <col min="8118" max="8120" width="19.21875" customWidth="1"/>
    <col min="8121" max="8121" width="18.33203125" bestFit="1" customWidth="1"/>
    <col min="8122" max="8122" width="14.21875" customWidth="1"/>
    <col min="8123" max="8123" width="8.88671875" customWidth="1"/>
    <col min="8124" max="8124" width="18.109375" customWidth="1"/>
    <col min="8125" max="8137" width="8.88671875" customWidth="1"/>
    <col min="8373" max="8373" width="16.88671875" customWidth="1"/>
    <col min="8374" max="8376" width="19.21875" customWidth="1"/>
    <col min="8377" max="8377" width="18.33203125" bestFit="1" customWidth="1"/>
    <col min="8378" max="8378" width="14.21875" customWidth="1"/>
    <col min="8379" max="8379" width="8.88671875" customWidth="1"/>
    <col min="8380" max="8380" width="18.109375" customWidth="1"/>
    <col min="8381" max="8393" width="8.88671875" customWidth="1"/>
    <col min="8629" max="8629" width="16.88671875" customWidth="1"/>
    <col min="8630" max="8632" width="19.21875" customWidth="1"/>
    <col min="8633" max="8633" width="18.33203125" bestFit="1" customWidth="1"/>
    <col min="8634" max="8634" width="14.21875" customWidth="1"/>
    <col min="8635" max="8635" width="8.88671875" customWidth="1"/>
    <col min="8636" max="8636" width="18.109375" customWidth="1"/>
    <col min="8637" max="8649" width="8.88671875" customWidth="1"/>
    <col min="8885" max="8885" width="16.88671875" customWidth="1"/>
    <col min="8886" max="8888" width="19.21875" customWidth="1"/>
    <col min="8889" max="8889" width="18.33203125" bestFit="1" customWidth="1"/>
    <col min="8890" max="8890" width="14.21875" customWidth="1"/>
    <col min="8891" max="8891" width="8.88671875" customWidth="1"/>
    <col min="8892" max="8892" width="18.109375" customWidth="1"/>
    <col min="8893" max="8905" width="8.88671875" customWidth="1"/>
    <col min="9141" max="9141" width="16.88671875" customWidth="1"/>
    <col min="9142" max="9144" width="19.21875" customWidth="1"/>
    <col min="9145" max="9145" width="18.33203125" bestFit="1" customWidth="1"/>
    <col min="9146" max="9146" width="14.21875" customWidth="1"/>
    <col min="9147" max="9147" width="8.88671875" customWidth="1"/>
    <col min="9148" max="9148" width="18.109375" customWidth="1"/>
    <col min="9149" max="9161" width="8.88671875" customWidth="1"/>
    <col min="9397" max="9397" width="16.88671875" customWidth="1"/>
    <col min="9398" max="9400" width="19.21875" customWidth="1"/>
    <col min="9401" max="9401" width="18.33203125" bestFit="1" customWidth="1"/>
    <col min="9402" max="9402" width="14.21875" customWidth="1"/>
    <col min="9403" max="9403" width="8.88671875" customWidth="1"/>
    <col min="9404" max="9404" width="18.109375" customWidth="1"/>
    <col min="9405" max="9417" width="8.88671875" customWidth="1"/>
    <col min="9653" max="9653" width="16.88671875" customWidth="1"/>
    <col min="9654" max="9656" width="19.21875" customWidth="1"/>
    <col min="9657" max="9657" width="18.33203125" bestFit="1" customWidth="1"/>
    <col min="9658" max="9658" width="14.21875" customWidth="1"/>
    <col min="9659" max="9659" width="8.88671875" customWidth="1"/>
    <col min="9660" max="9660" width="18.109375" customWidth="1"/>
    <col min="9661" max="9673" width="8.88671875" customWidth="1"/>
    <col min="9909" max="9909" width="16.88671875" customWidth="1"/>
    <col min="9910" max="9912" width="19.21875" customWidth="1"/>
    <col min="9913" max="9913" width="18.33203125" bestFit="1" customWidth="1"/>
    <col min="9914" max="9914" width="14.21875" customWidth="1"/>
    <col min="9915" max="9915" width="8.88671875" customWidth="1"/>
    <col min="9916" max="9916" width="18.109375" customWidth="1"/>
    <col min="9917" max="9929" width="8.88671875" customWidth="1"/>
    <col min="10165" max="10165" width="16.88671875" customWidth="1"/>
    <col min="10166" max="10168" width="19.21875" customWidth="1"/>
    <col min="10169" max="10169" width="18.33203125" bestFit="1" customWidth="1"/>
    <col min="10170" max="10170" width="14.21875" customWidth="1"/>
    <col min="10171" max="10171" width="8.88671875" customWidth="1"/>
    <col min="10172" max="10172" width="18.109375" customWidth="1"/>
    <col min="10173" max="10185" width="8.88671875" customWidth="1"/>
    <col min="10421" max="10421" width="16.88671875" customWidth="1"/>
    <col min="10422" max="10424" width="19.21875" customWidth="1"/>
    <col min="10425" max="10425" width="18.33203125" bestFit="1" customWidth="1"/>
    <col min="10426" max="10426" width="14.21875" customWidth="1"/>
    <col min="10427" max="10427" width="8.88671875" customWidth="1"/>
    <col min="10428" max="10428" width="18.109375" customWidth="1"/>
    <col min="10429" max="10441" width="8.88671875" customWidth="1"/>
    <col min="10677" max="10677" width="16.88671875" customWidth="1"/>
    <col min="10678" max="10680" width="19.21875" customWidth="1"/>
    <col min="10681" max="10681" width="18.33203125" bestFit="1" customWidth="1"/>
    <col min="10682" max="10682" width="14.21875" customWidth="1"/>
    <col min="10683" max="10683" width="8.88671875" customWidth="1"/>
    <col min="10684" max="10684" width="18.109375" customWidth="1"/>
    <col min="10685" max="10697" width="8.88671875" customWidth="1"/>
    <col min="10933" max="10933" width="16.88671875" customWidth="1"/>
    <col min="10934" max="10936" width="19.21875" customWidth="1"/>
    <col min="10937" max="10937" width="18.33203125" bestFit="1" customWidth="1"/>
    <col min="10938" max="10938" width="14.21875" customWidth="1"/>
    <col min="10939" max="10939" width="8.88671875" customWidth="1"/>
    <col min="10940" max="10940" width="18.109375" customWidth="1"/>
    <col min="10941" max="10953" width="8.88671875" customWidth="1"/>
    <col min="11189" max="11189" width="16.88671875" customWidth="1"/>
    <col min="11190" max="11192" width="19.21875" customWidth="1"/>
    <col min="11193" max="11193" width="18.33203125" bestFit="1" customWidth="1"/>
    <col min="11194" max="11194" width="14.21875" customWidth="1"/>
    <col min="11195" max="11195" width="8.88671875" customWidth="1"/>
    <col min="11196" max="11196" width="18.109375" customWidth="1"/>
    <col min="11197" max="11209" width="8.88671875" customWidth="1"/>
    <col min="11445" max="11445" width="16.88671875" customWidth="1"/>
    <col min="11446" max="11448" width="19.21875" customWidth="1"/>
    <col min="11449" max="11449" width="18.33203125" bestFit="1" customWidth="1"/>
    <col min="11450" max="11450" width="14.21875" customWidth="1"/>
    <col min="11451" max="11451" width="8.88671875" customWidth="1"/>
    <col min="11452" max="11452" width="18.109375" customWidth="1"/>
    <col min="11453" max="11465" width="8.88671875" customWidth="1"/>
    <col min="11701" max="11701" width="16.88671875" customWidth="1"/>
    <col min="11702" max="11704" width="19.21875" customWidth="1"/>
    <col min="11705" max="11705" width="18.33203125" bestFit="1" customWidth="1"/>
    <col min="11706" max="11706" width="14.21875" customWidth="1"/>
    <col min="11707" max="11707" width="8.88671875" customWidth="1"/>
    <col min="11708" max="11708" width="18.109375" customWidth="1"/>
    <col min="11709" max="11721" width="8.88671875" customWidth="1"/>
    <col min="11957" max="11957" width="16.88671875" customWidth="1"/>
    <col min="11958" max="11960" width="19.21875" customWidth="1"/>
    <col min="11961" max="11961" width="18.33203125" bestFit="1" customWidth="1"/>
    <col min="11962" max="11962" width="14.21875" customWidth="1"/>
    <col min="11963" max="11963" width="8.88671875" customWidth="1"/>
    <col min="11964" max="11964" width="18.109375" customWidth="1"/>
    <col min="11965" max="11977" width="8.88671875" customWidth="1"/>
    <col min="12213" max="12213" width="16.88671875" customWidth="1"/>
    <col min="12214" max="12216" width="19.21875" customWidth="1"/>
    <col min="12217" max="12217" width="18.33203125" bestFit="1" customWidth="1"/>
    <col min="12218" max="12218" width="14.21875" customWidth="1"/>
    <col min="12219" max="12219" width="8.88671875" customWidth="1"/>
    <col min="12220" max="12220" width="18.109375" customWidth="1"/>
    <col min="12221" max="12233" width="8.88671875" customWidth="1"/>
    <col min="12469" max="12469" width="16.88671875" customWidth="1"/>
    <col min="12470" max="12472" width="19.21875" customWidth="1"/>
    <col min="12473" max="12473" width="18.33203125" bestFit="1" customWidth="1"/>
    <col min="12474" max="12474" width="14.21875" customWidth="1"/>
    <col min="12475" max="12475" width="8.88671875" customWidth="1"/>
    <col min="12476" max="12476" width="18.109375" customWidth="1"/>
    <col min="12477" max="12489" width="8.88671875" customWidth="1"/>
    <col min="12725" max="12725" width="16.88671875" customWidth="1"/>
    <col min="12726" max="12728" width="19.21875" customWidth="1"/>
    <col min="12729" max="12729" width="18.33203125" bestFit="1" customWidth="1"/>
    <col min="12730" max="12730" width="14.21875" customWidth="1"/>
    <col min="12731" max="12731" width="8.88671875" customWidth="1"/>
    <col min="12732" max="12732" width="18.109375" customWidth="1"/>
    <col min="12733" max="12745" width="8.88671875" customWidth="1"/>
    <col min="12981" max="12981" width="16.88671875" customWidth="1"/>
    <col min="12982" max="12984" width="19.21875" customWidth="1"/>
    <col min="12985" max="12985" width="18.33203125" bestFit="1" customWidth="1"/>
    <col min="12986" max="12986" width="14.21875" customWidth="1"/>
    <col min="12987" max="12987" width="8.88671875" customWidth="1"/>
    <col min="12988" max="12988" width="18.109375" customWidth="1"/>
    <col min="12989" max="13001" width="8.88671875" customWidth="1"/>
    <col min="13237" max="13237" width="16.88671875" customWidth="1"/>
    <col min="13238" max="13240" width="19.21875" customWidth="1"/>
    <col min="13241" max="13241" width="18.33203125" bestFit="1" customWidth="1"/>
    <col min="13242" max="13242" width="14.21875" customWidth="1"/>
    <col min="13243" max="13243" width="8.88671875" customWidth="1"/>
    <col min="13244" max="13244" width="18.109375" customWidth="1"/>
    <col min="13245" max="13257" width="8.88671875" customWidth="1"/>
    <col min="13493" max="13493" width="16.88671875" customWidth="1"/>
    <col min="13494" max="13496" width="19.21875" customWidth="1"/>
    <col min="13497" max="13497" width="18.33203125" bestFit="1" customWidth="1"/>
    <col min="13498" max="13498" width="14.21875" customWidth="1"/>
    <col min="13499" max="13499" width="8.88671875" customWidth="1"/>
    <col min="13500" max="13500" width="18.109375" customWidth="1"/>
    <col min="13501" max="13513" width="8.88671875" customWidth="1"/>
    <col min="13749" max="13749" width="16.88671875" customWidth="1"/>
    <col min="13750" max="13752" width="19.21875" customWidth="1"/>
    <col min="13753" max="13753" width="18.33203125" bestFit="1" customWidth="1"/>
    <col min="13754" max="13754" width="14.21875" customWidth="1"/>
    <col min="13755" max="13755" width="8.88671875" customWidth="1"/>
    <col min="13756" max="13756" width="18.109375" customWidth="1"/>
    <col min="13757" max="13769" width="8.88671875" customWidth="1"/>
    <col min="14005" max="14005" width="16.88671875" customWidth="1"/>
    <col min="14006" max="14008" width="19.21875" customWidth="1"/>
    <col min="14009" max="14009" width="18.33203125" bestFit="1" customWidth="1"/>
    <col min="14010" max="14010" width="14.21875" customWidth="1"/>
    <col min="14011" max="14011" width="8.88671875" customWidth="1"/>
    <col min="14012" max="14012" width="18.109375" customWidth="1"/>
    <col min="14013" max="14025" width="8.88671875" customWidth="1"/>
    <col min="14261" max="14261" width="16.88671875" customWidth="1"/>
    <col min="14262" max="14264" width="19.21875" customWidth="1"/>
    <col min="14265" max="14265" width="18.33203125" bestFit="1" customWidth="1"/>
    <col min="14266" max="14266" width="14.21875" customWidth="1"/>
    <col min="14267" max="14267" width="8.88671875" customWidth="1"/>
    <col min="14268" max="14268" width="18.109375" customWidth="1"/>
    <col min="14269" max="14281" width="8.88671875" customWidth="1"/>
    <col min="14517" max="14517" width="16.88671875" customWidth="1"/>
    <col min="14518" max="14520" width="19.21875" customWidth="1"/>
    <col min="14521" max="14521" width="18.33203125" bestFit="1" customWidth="1"/>
    <col min="14522" max="14522" width="14.21875" customWidth="1"/>
    <col min="14523" max="14523" width="8.88671875" customWidth="1"/>
    <col min="14524" max="14524" width="18.109375" customWidth="1"/>
    <col min="14525" max="14537" width="8.88671875" customWidth="1"/>
    <col min="14773" max="14773" width="16.88671875" customWidth="1"/>
    <col min="14774" max="14776" width="19.21875" customWidth="1"/>
    <col min="14777" max="14777" width="18.33203125" bestFit="1" customWidth="1"/>
    <col min="14778" max="14778" width="14.21875" customWidth="1"/>
    <col min="14779" max="14779" width="8.88671875" customWidth="1"/>
    <col min="14780" max="14780" width="18.109375" customWidth="1"/>
    <col min="14781" max="14793" width="8.88671875" customWidth="1"/>
    <col min="15029" max="15029" width="16.88671875" customWidth="1"/>
    <col min="15030" max="15032" width="19.21875" customWidth="1"/>
    <col min="15033" max="15033" width="18.33203125" bestFit="1" customWidth="1"/>
    <col min="15034" max="15034" width="14.21875" customWidth="1"/>
    <col min="15035" max="15035" width="8.88671875" customWidth="1"/>
    <col min="15036" max="15036" width="18.109375" customWidth="1"/>
    <col min="15037" max="15049" width="8.88671875" customWidth="1"/>
    <col min="15285" max="15285" width="16.88671875" customWidth="1"/>
    <col min="15286" max="15288" width="19.21875" customWidth="1"/>
    <col min="15289" max="15289" width="18.33203125" bestFit="1" customWidth="1"/>
    <col min="15290" max="15290" width="14.21875" customWidth="1"/>
    <col min="15291" max="15291" width="8.88671875" customWidth="1"/>
    <col min="15292" max="15292" width="18.109375" customWidth="1"/>
    <col min="15293" max="15305" width="8.88671875" customWidth="1"/>
    <col min="15541" max="15541" width="16.88671875" customWidth="1"/>
    <col min="15542" max="15544" width="19.21875" customWidth="1"/>
    <col min="15545" max="15545" width="18.33203125" bestFit="1" customWidth="1"/>
    <col min="15546" max="15546" width="14.21875" customWidth="1"/>
    <col min="15547" max="15547" width="8.88671875" customWidth="1"/>
    <col min="15548" max="15548" width="18.109375" customWidth="1"/>
    <col min="15549" max="15561" width="8.88671875" customWidth="1"/>
    <col min="15797" max="15797" width="16.88671875" customWidth="1"/>
    <col min="15798" max="15800" width="19.21875" customWidth="1"/>
    <col min="15801" max="15801" width="18.33203125" bestFit="1" customWidth="1"/>
    <col min="15802" max="15802" width="14.21875" customWidth="1"/>
    <col min="15803" max="15803" width="8.88671875" customWidth="1"/>
    <col min="15804" max="15804" width="18.109375" customWidth="1"/>
    <col min="15805" max="15817" width="8.88671875" customWidth="1"/>
    <col min="16053" max="16053" width="16.88671875" customWidth="1"/>
    <col min="16054" max="16056" width="19.21875" customWidth="1"/>
    <col min="16057" max="16057" width="18.33203125" bestFit="1" customWidth="1"/>
    <col min="16058" max="16058" width="14.21875" customWidth="1"/>
    <col min="16059" max="16059" width="8.88671875" customWidth="1"/>
    <col min="16060" max="16060" width="18.109375" customWidth="1"/>
    <col min="16061" max="16073" width="8.88671875" customWidth="1"/>
  </cols>
  <sheetData>
    <row r="1" spans="1:13" s="23" customFormat="1" ht="41.25" customHeight="1" x14ac:dyDescent="0.15">
      <c r="A1" s="100" t="s">
        <v>1</v>
      </c>
      <c r="B1" s="100"/>
      <c r="C1" s="100"/>
      <c r="D1" s="100"/>
      <c r="E1" s="100"/>
      <c r="F1" s="100"/>
      <c r="G1" s="100"/>
      <c r="H1" s="94" t="s">
        <v>2</v>
      </c>
      <c r="I1" s="95" t="s">
        <v>2</v>
      </c>
      <c r="K1"/>
      <c r="M1"/>
    </row>
    <row r="2" spans="1:13" s="23" customFormat="1" ht="25.5" customHeight="1" x14ac:dyDescent="0.15">
      <c r="A2" s="101">
        <f>IF(MONTH(I7)+2&gt;12,DATE(YEAR(I7)+1,MONTH(I7)-10,DAY(I7)),DATE(YEAR(I7),MONTH(I7)+2,DAY(I7)))</f>
        <v>46113</v>
      </c>
      <c r="B2" s="101"/>
      <c r="C2" s="101"/>
      <c r="D2" s="101"/>
      <c r="E2" s="101"/>
      <c r="F2" s="101"/>
      <c r="G2" s="101"/>
      <c r="H2" s="30"/>
      <c r="K2"/>
      <c r="M2"/>
    </row>
    <row r="3" spans="1:13" s="23" customFormat="1" ht="18.75" customHeight="1" x14ac:dyDescent="0.15">
      <c r="A3" s="80" t="s">
        <v>38</v>
      </c>
      <c r="B3" s="80"/>
      <c r="C3" s="80"/>
      <c r="D3" s="80"/>
      <c r="E3" s="80"/>
      <c r="F3" s="80"/>
      <c r="G3" s="80"/>
      <c r="H3"/>
      <c r="K3"/>
      <c r="M3"/>
    </row>
    <row r="4" spans="1:13" s="23" customFormat="1" ht="18.75" customHeight="1" x14ac:dyDescent="0.15">
      <c r="A4" s="19" t="s">
        <v>3</v>
      </c>
      <c r="B4" s="58" t="s">
        <v>4</v>
      </c>
      <c r="C4" s="58" t="s">
        <v>5</v>
      </c>
      <c r="D4" s="58" t="s">
        <v>32</v>
      </c>
      <c r="E4" s="58" t="s">
        <v>41</v>
      </c>
      <c r="F4" s="58" t="s">
        <v>48</v>
      </c>
      <c r="G4" s="102" t="s">
        <v>6</v>
      </c>
      <c r="H4" s="1" t="s">
        <v>7</v>
      </c>
      <c r="I4" s="1" t="s">
        <v>8</v>
      </c>
      <c r="K4"/>
      <c r="M4"/>
    </row>
    <row r="5" spans="1:13" s="23" customFormat="1" ht="18.75" customHeight="1" x14ac:dyDescent="0.15">
      <c r="A5" s="40" t="s">
        <v>9</v>
      </c>
      <c r="B5" s="20" t="s">
        <v>10</v>
      </c>
      <c r="C5" s="20" t="s">
        <v>11</v>
      </c>
      <c r="D5" s="66" t="s">
        <v>33</v>
      </c>
      <c r="E5" s="66" t="s">
        <v>40</v>
      </c>
      <c r="F5" s="66" t="s">
        <v>47</v>
      </c>
      <c r="G5" s="102"/>
      <c r="H5"/>
      <c r="K5"/>
      <c r="M5"/>
    </row>
    <row r="6" spans="1:13" s="23" customFormat="1" ht="27" x14ac:dyDescent="0.15">
      <c r="A6" s="46" t="s">
        <v>12</v>
      </c>
      <c r="B6" s="47"/>
      <c r="C6" s="47"/>
      <c r="D6" s="47"/>
      <c r="E6" s="47"/>
      <c r="F6" s="47"/>
      <c r="G6" s="79" t="str">
        <f>CONCATENATE(YEAR(I6) &amp; "년 ", MONTH(I6) &amp;"월 "," : ",H6)</f>
        <v>2026년 1월  : 118.03</v>
      </c>
      <c r="H6" s="71">
        <v>118.03</v>
      </c>
      <c r="I6" s="24">
        <v>46023</v>
      </c>
      <c r="K6"/>
      <c r="M6"/>
    </row>
    <row r="7" spans="1:13" s="23" customFormat="1" ht="27" x14ac:dyDescent="0.15">
      <c r="A7" s="41" t="s">
        <v>13</v>
      </c>
      <c r="B7" s="17"/>
      <c r="C7" s="17"/>
      <c r="D7" s="17"/>
      <c r="E7" s="17"/>
      <c r="F7" s="17"/>
      <c r="G7" s="21" t="str">
        <f>CONCATENATE(YEAR(I7) &amp; "년 ", MONTH(I7) &amp;"월 "," : ",TEXT(H7,"000.00"))</f>
        <v>2026년 2월  : 118.40</v>
      </c>
      <c r="H7" s="92">
        <v>118.4</v>
      </c>
      <c r="I7" s="24">
        <v>46054</v>
      </c>
      <c r="K7"/>
      <c r="M7"/>
    </row>
    <row r="8" spans="1:13" s="23" customFormat="1" ht="27" x14ac:dyDescent="0.15">
      <c r="A8" s="41" t="s">
        <v>14</v>
      </c>
      <c r="B8" s="17">
        <v>110.505</v>
      </c>
      <c r="C8" s="17"/>
      <c r="D8" s="17"/>
      <c r="E8" s="17"/>
      <c r="F8" s="17"/>
      <c r="G8" s="22"/>
      <c r="H8"/>
      <c r="K8"/>
      <c r="M8"/>
    </row>
    <row r="9" spans="1:13" s="23" customFormat="1" ht="27" x14ac:dyDescent="0.15">
      <c r="A9" s="31" t="s">
        <v>15</v>
      </c>
      <c r="B9" s="16" t="s">
        <v>0</v>
      </c>
      <c r="C9" s="16"/>
      <c r="D9" s="16"/>
      <c r="E9" s="16"/>
      <c r="F9" s="16"/>
      <c r="G9" s="33"/>
      <c r="H9" s="8"/>
      <c r="I9" s="25"/>
      <c r="K9"/>
      <c r="M9"/>
    </row>
    <row r="10" spans="1:13" s="23" customFormat="1" ht="27" x14ac:dyDescent="0.15">
      <c r="A10" s="31" t="s">
        <v>16</v>
      </c>
      <c r="B10" s="16">
        <f>ROUND(B8*$C$64/$C$66,5)</f>
        <v>100.68013000000001</v>
      </c>
      <c r="C10" s="32">
        <v>104.202</v>
      </c>
      <c r="D10" s="32"/>
      <c r="E10" s="32"/>
      <c r="F10" s="32"/>
      <c r="G10" s="33"/>
      <c r="H10"/>
      <c r="K10"/>
      <c r="M10"/>
    </row>
    <row r="11" spans="1:13" s="23" customFormat="1" ht="27" x14ac:dyDescent="0.15">
      <c r="A11" s="41" t="s">
        <v>26</v>
      </c>
      <c r="B11" s="17" t="s">
        <v>30</v>
      </c>
      <c r="C11" s="17" t="s">
        <v>30</v>
      </c>
      <c r="D11" s="17"/>
      <c r="E11" s="17"/>
      <c r="F11" s="17"/>
      <c r="G11" s="33"/>
      <c r="H11"/>
      <c r="K11"/>
      <c r="M11"/>
    </row>
    <row r="12" spans="1:13" s="23" customFormat="1" ht="27" x14ac:dyDescent="0.15">
      <c r="A12" s="41" t="s">
        <v>27</v>
      </c>
      <c r="B12" s="17">
        <f>ROUND(B10*$C$72/$C$74,5)</f>
        <v>100.6609</v>
      </c>
      <c r="C12" s="17">
        <f>ROUND(C10*$C$72/$C$74,5)</f>
        <v>104.18210000000001</v>
      </c>
      <c r="D12" s="17">
        <v>105.363</v>
      </c>
      <c r="E12" s="17"/>
      <c r="F12" s="17"/>
      <c r="G12" s="33"/>
      <c r="H12"/>
      <c r="K12"/>
      <c r="M12"/>
    </row>
    <row r="13" spans="1:13" s="23" customFormat="1" ht="27" x14ac:dyDescent="0.15">
      <c r="A13" s="31" t="s">
        <v>34</v>
      </c>
      <c r="B13" s="16" t="s">
        <v>39</v>
      </c>
      <c r="C13" s="16" t="s">
        <v>39</v>
      </c>
      <c r="D13" s="16" t="s">
        <v>39</v>
      </c>
      <c r="E13" s="16"/>
      <c r="F13" s="16"/>
      <c r="G13" s="33"/>
      <c r="H13" s="8"/>
      <c r="I13" s="25"/>
      <c r="K13"/>
      <c r="M13"/>
    </row>
    <row r="14" spans="1:13" s="23" customFormat="1" ht="27" x14ac:dyDescent="0.15">
      <c r="A14" s="31" t="s">
        <v>35</v>
      </c>
      <c r="B14" s="16">
        <f>ROUND(B12*$C$80/$C$82,5)</f>
        <v>95.563910000000007</v>
      </c>
      <c r="C14" s="32">
        <f>ROUND(C12*$C$80/$C$82,5)</f>
        <v>98.906819999999996</v>
      </c>
      <c r="D14" s="32">
        <f>ROUND(D12*$C$80/$C$82,5)</f>
        <v>100.02791999999999</v>
      </c>
      <c r="E14" s="32">
        <v>106.297</v>
      </c>
      <c r="F14" s="32"/>
      <c r="G14" s="33"/>
      <c r="H14"/>
      <c r="K14"/>
      <c r="M14"/>
    </row>
    <row r="15" spans="1:13" s="23" customFormat="1" ht="27" x14ac:dyDescent="0.15">
      <c r="A15" s="41" t="s">
        <v>42</v>
      </c>
      <c r="B15" s="17" t="s">
        <v>46</v>
      </c>
      <c r="C15" s="17" t="s">
        <v>46</v>
      </c>
      <c r="D15" s="17" t="s">
        <v>46</v>
      </c>
      <c r="E15" s="17" t="s">
        <v>46</v>
      </c>
      <c r="F15" s="17"/>
      <c r="G15" s="33"/>
      <c r="H15"/>
      <c r="K15"/>
      <c r="M15"/>
    </row>
    <row r="16" spans="1:13" s="23" customFormat="1" ht="27" x14ac:dyDescent="0.15">
      <c r="A16" s="41" t="s">
        <v>43</v>
      </c>
      <c r="B16" s="17">
        <f>ROUND(B14*$C$88/$C$90,5)</f>
        <v>95.504570000000001</v>
      </c>
      <c r="C16" s="17">
        <f>ROUND(C14*$C$88/$C$90,5)</f>
        <v>98.845410000000001</v>
      </c>
      <c r="D16" s="17">
        <f>ROUND(D14*$C$88/$C$90,5)</f>
        <v>99.965810000000005</v>
      </c>
      <c r="E16" s="17">
        <f>ROUND(E14*$C$88/$C$90,5)</f>
        <v>106.23099999999999</v>
      </c>
      <c r="F16" s="17">
        <v>113.955</v>
      </c>
      <c r="G16" s="33"/>
      <c r="H16"/>
      <c r="K16"/>
      <c r="M16"/>
    </row>
    <row r="17" spans="1:17" s="23" customFormat="1" ht="18.75" customHeight="1" x14ac:dyDescent="0.15">
      <c r="A17" s="39" t="s">
        <v>49</v>
      </c>
      <c r="B17" s="18">
        <f t="shared" ref="B17:B46" si="0">ROUND($G17/$B$16,5)</f>
        <v>1.23586</v>
      </c>
      <c r="C17" s="18">
        <f t="shared" ref="C17:C46" si="1">ROUND($G17/$C$16,5)</f>
        <v>1.1940900000000001</v>
      </c>
      <c r="D17" s="18">
        <f t="shared" ref="D17:D46" si="2">ROUND($G17/$D$16,5)</f>
        <v>1.1807000000000001</v>
      </c>
      <c r="E17" s="18">
        <f t="shared" ref="E17:E46" si="3">ROUND($G17/$E$16,5)</f>
        <v>1.11107</v>
      </c>
      <c r="F17" s="18">
        <f t="shared" ref="F17:F46" si="4">ROUND($G17/$F$16,5)</f>
        <v>1.03576</v>
      </c>
      <c r="G17" s="34">
        <f>ROUND($H$6+(H17-1)/$H$46*($H$7-$H$6),5)</f>
        <v>118.03</v>
      </c>
      <c r="H17">
        <f>H16+1</f>
        <v>1</v>
      </c>
      <c r="I17" s="26"/>
      <c r="K17"/>
      <c r="M17"/>
      <c r="N17"/>
      <c r="O17"/>
      <c r="P17"/>
    </row>
    <row r="18" spans="1:17" s="23" customFormat="1" ht="18.75" customHeight="1" x14ac:dyDescent="0.15">
      <c r="A18" s="39" t="s">
        <v>50</v>
      </c>
      <c r="B18" s="18">
        <f t="shared" si="0"/>
        <v>1.2359899999999999</v>
      </c>
      <c r="C18" s="18">
        <f t="shared" si="1"/>
        <v>1.19421</v>
      </c>
      <c r="D18" s="18">
        <f t="shared" si="2"/>
        <v>1.18083</v>
      </c>
      <c r="E18" s="18">
        <f t="shared" si="3"/>
        <v>1.1111899999999999</v>
      </c>
      <c r="F18" s="18">
        <f t="shared" si="4"/>
        <v>1.0358700000000001</v>
      </c>
      <c r="G18" s="34">
        <f t="shared" ref="G18:G46" si="5">ROUND($H$6+(H18-1)/$H$46*($H$7-$H$6),5)</f>
        <v>118.04233000000001</v>
      </c>
      <c r="H18">
        <f t="shared" ref="H18:H46" si="6">H17+1</f>
        <v>2</v>
      </c>
      <c r="I18" s="26"/>
      <c r="K18"/>
      <c r="M18"/>
      <c r="N18"/>
      <c r="O18"/>
      <c r="P18"/>
      <c r="Q18"/>
    </row>
    <row r="19" spans="1:17" ht="18.75" customHeight="1" x14ac:dyDescent="0.15">
      <c r="A19" s="39" t="s">
        <v>51</v>
      </c>
      <c r="B19" s="18">
        <f t="shared" si="0"/>
        <v>1.2361200000000001</v>
      </c>
      <c r="C19" s="18">
        <f t="shared" si="1"/>
        <v>1.19434</v>
      </c>
      <c r="D19" s="18">
        <f t="shared" si="2"/>
        <v>1.1809499999999999</v>
      </c>
      <c r="E19" s="18">
        <f t="shared" si="3"/>
        <v>1.1113</v>
      </c>
      <c r="F19" s="18">
        <f t="shared" si="4"/>
        <v>1.0359799999999999</v>
      </c>
      <c r="G19" s="34">
        <f t="shared" si="5"/>
        <v>118.05467</v>
      </c>
      <c r="H19">
        <f t="shared" si="6"/>
        <v>3</v>
      </c>
      <c r="I19" s="26"/>
    </row>
    <row r="20" spans="1:17" ht="18.75" customHeight="1" x14ac:dyDescent="0.15">
      <c r="A20" s="39" t="s">
        <v>52</v>
      </c>
      <c r="B20" s="18">
        <f t="shared" si="0"/>
        <v>1.23624</v>
      </c>
      <c r="C20" s="18">
        <f t="shared" si="1"/>
        <v>1.1944600000000001</v>
      </c>
      <c r="D20" s="18">
        <f t="shared" si="2"/>
        <v>1.1810700000000001</v>
      </c>
      <c r="E20" s="18">
        <f t="shared" si="3"/>
        <v>1.1114200000000001</v>
      </c>
      <c r="F20" s="18">
        <f t="shared" si="4"/>
        <v>1.0360799999999999</v>
      </c>
      <c r="G20" s="34">
        <f t="shared" si="5"/>
        <v>118.06699999999999</v>
      </c>
      <c r="H20">
        <f t="shared" si="6"/>
        <v>4</v>
      </c>
      <c r="I20" s="26"/>
    </row>
    <row r="21" spans="1:17" ht="18.75" customHeight="1" x14ac:dyDescent="0.15">
      <c r="A21" s="39" t="s">
        <v>53</v>
      </c>
      <c r="B21" s="18">
        <f t="shared" si="0"/>
        <v>1.23637</v>
      </c>
      <c r="C21" s="18">
        <f t="shared" si="1"/>
        <v>1.19459</v>
      </c>
      <c r="D21" s="18">
        <f t="shared" si="2"/>
        <v>1.1812</v>
      </c>
      <c r="E21" s="18">
        <f t="shared" si="3"/>
        <v>1.1115299999999999</v>
      </c>
      <c r="F21" s="18">
        <f t="shared" si="4"/>
        <v>1.0361899999999999</v>
      </c>
      <c r="G21" s="34">
        <f t="shared" si="5"/>
        <v>118.07933</v>
      </c>
      <c r="H21">
        <f t="shared" si="6"/>
        <v>5</v>
      </c>
      <c r="I21" s="26"/>
    </row>
    <row r="22" spans="1:17" ht="18.75" customHeight="1" x14ac:dyDescent="0.15">
      <c r="A22" s="39" t="s">
        <v>54</v>
      </c>
      <c r="B22" s="18">
        <f t="shared" si="0"/>
        <v>1.2364999999999999</v>
      </c>
      <c r="C22" s="18">
        <f t="shared" si="1"/>
        <v>1.1947099999999999</v>
      </c>
      <c r="D22" s="18">
        <f t="shared" si="2"/>
        <v>1.1813199999999999</v>
      </c>
      <c r="E22" s="18">
        <f t="shared" si="3"/>
        <v>1.11165</v>
      </c>
      <c r="F22" s="18">
        <f t="shared" si="4"/>
        <v>1.0363</v>
      </c>
      <c r="G22" s="34">
        <f t="shared" si="5"/>
        <v>118.09166999999999</v>
      </c>
      <c r="H22">
        <f t="shared" si="6"/>
        <v>6</v>
      </c>
      <c r="I22" s="26"/>
    </row>
    <row r="23" spans="1:17" ht="18.75" customHeight="1" x14ac:dyDescent="0.15">
      <c r="A23" s="39" t="s">
        <v>55</v>
      </c>
      <c r="B23" s="18">
        <f t="shared" si="0"/>
        <v>1.2366299999999999</v>
      </c>
      <c r="C23" s="18">
        <f t="shared" si="1"/>
        <v>1.1948399999999999</v>
      </c>
      <c r="D23" s="18">
        <f t="shared" si="2"/>
        <v>1.18144</v>
      </c>
      <c r="E23" s="18">
        <f t="shared" si="3"/>
        <v>1.1117699999999999</v>
      </c>
      <c r="F23" s="18">
        <f t="shared" si="4"/>
        <v>1.0364100000000001</v>
      </c>
      <c r="G23" s="34">
        <f t="shared" si="5"/>
        <v>118.104</v>
      </c>
      <c r="H23">
        <f t="shared" si="6"/>
        <v>7</v>
      </c>
      <c r="I23" s="26"/>
    </row>
    <row r="24" spans="1:17" ht="18.75" customHeight="1" x14ac:dyDescent="0.15">
      <c r="A24" s="39" t="s">
        <v>56</v>
      </c>
      <c r="B24" s="18">
        <f t="shared" si="0"/>
        <v>1.2367600000000001</v>
      </c>
      <c r="C24" s="18">
        <f t="shared" si="1"/>
        <v>1.19496</v>
      </c>
      <c r="D24" s="18">
        <f t="shared" si="2"/>
        <v>1.18157</v>
      </c>
      <c r="E24" s="18">
        <f t="shared" si="3"/>
        <v>1.11188</v>
      </c>
      <c r="F24" s="18">
        <f t="shared" si="4"/>
        <v>1.0365200000000001</v>
      </c>
      <c r="G24" s="34">
        <f t="shared" si="5"/>
        <v>118.11633</v>
      </c>
      <c r="H24">
        <f t="shared" si="6"/>
        <v>8</v>
      </c>
      <c r="I24" s="26"/>
      <c r="N24" s="5"/>
      <c r="O24" s="5"/>
      <c r="P24" s="5"/>
    </row>
    <row r="25" spans="1:17" ht="18.75" customHeight="1" x14ac:dyDescent="0.15">
      <c r="A25" s="39" t="s">
        <v>57</v>
      </c>
      <c r="B25" s="18">
        <f t="shared" si="0"/>
        <v>1.23689</v>
      </c>
      <c r="C25" s="18">
        <f t="shared" si="1"/>
        <v>1.19509</v>
      </c>
      <c r="D25" s="18">
        <f t="shared" si="2"/>
        <v>1.1816899999999999</v>
      </c>
      <c r="E25" s="18">
        <f t="shared" si="3"/>
        <v>1.1120000000000001</v>
      </c>
      <c r="F25" s="18">
        <f t="shared" si="4"/>
        <v>1.0366299999999999</v>
      </c>
      <c r="G25" s="34">
        <f t="shared" si="5"/>
        <v>118.12867</v>
      </c>
      <c r="H25">
        <f t="shared" si="6"/>
        <v>9</v>
      </c>
      <c r="I25" s="26"/>
      <c r="N25" s="5"/>
      <c r="O25" s="5"/>
      <c r="P25" s="5"/>
      <c r="Q25" s="5"/>
    </row>
    <row r="26" spans="1:17" s="5" customFormat="1" ht="18.75" customHeight="1" x14ac:dyDescent="0.15">
      <c r="A26" s="39" t="s">
        <v>58</v>
      </c>
      <c r="B26" s="18">
        <f t="shared" si="0"/>
        <v>1.23702</v>
      </c>
      <c r="C26" s="18">
        <f t="shared" si="1"/>
        <v>1.1952100000000001</v>
      </c>
      <c r="D26" s="18">
        <f t="shared" si="2"/>
        <v>1.18181</v>
      </c>
      <c r="E26" s="18">
        <f t="shared" si="3"/>
        <v>1.1121099999999999</v>
      </c>
      <c r="F26" s="18">
        <f t="shared" si="4"/>
        <v>1.0367299999999999</v>
      </c>
      <c r="G26" s="34">
        <f t="shared" si="5"/>
        <v>118.14100000000001</v>
      </c>
      <c r="H26">
        <f t="shared" si="6"/>
        <v>10</v>
      </c>
      <c r="I26" s="26"/>
      <c r="J26" s="23"/>
      <c r="L26" s="27"/>
    </row>
    <row r="27" spans="1:17" s="5" customFormat="1" ht="18.75" customHeight="1" x14ac:dyDescent="0.15">
      <c r="A27" s="39" t="s">
        <v>59</v>
      </c>
      <c r="B27" s="18">
        <f t="shared" si="0"/>
        <v>1.23715</v>
      </c>
      <c r="C27" s="18">
        <f t="shared" si="1"/>
        <v>1.19533</v>
      </c>
      <c r="D27" s="18">
        <f t="shared" si="2"/>
        <v>1.18194</v>
      </c>
      <c r="E27" s="18">
        <f t="shared" si="3"/>
        <v>1.1122300000000001</v>
      </c>
      <c r="F27" s="18">
        <f t="shared" si="4"/>
        <v>1.03684</v>
      </c>
      <c r="G27" s="34">
        <f t="shared" si="5"/>
        <v>118.15333</v>
      </c>
      <c r="H27">
        <f t="shared" si="6"/>
        <v>11</v>
      </c>
      <c r="I27" s="26"/>
      <c r="J27" s="23"/>
      <c r="L27" s="27"/>
    </row>
    <row r="28" spans="1:17" s="5" customFormat="1" ht="18.75" customHeight="1" x14ac:dyDescent="0.15">
      <c r="A28" s="39" t="s">
        <v>60</v>
      </c>
      <c r="B28" s="18">
        <f t="shared" si="0"/>
        <v>1.2372799999999999</v>
      </c>
      <c r="C28" s="18">
        <f t="shared" si="1"/>
        <v>1.19546</v>
      </c>
      <c r="D28" s="18">
        <f t="shared" si="2"/>
        <v>1.1820600000000001</v>
      </c>
      <c r="E28" s="18">
        <f t="shared" si="3"/>
        <v>1.1123499999999999</v>
      </c>
      <c r="F28" s="18">
        <f t="shared" si="4"/>
        <v>1.03695</v>
      </c>
      <c r="G28" s="34">
        <f t="shared" si="5"/>
        <v>118.16567000000001</v>
      </c>
      <c r="H28">
        <f t="shared" si="6"/>
        <v>12</v>
      </c>
      <c r="I28" s="26"/>
      <c r="J28" s="23"/>
      <c r="L28" s="27"/>
    </row>
    <row r="29" spans="1:17" s="5" customFormat="1" ht="18.75" customHeight="1" x14ac:dyDescent="0.15">
      <c r="A29" s="39" t="s">
        <v>61</v>
      </c>
      <c r="B29" s="18">
        <f t="shared" si="0"/>
        <v>1.2374099999999999</v>
      </c>
      <c r="C29" s="18">
        <f t="shared" si="1"/>
        <v>1.1955800000000001</v>
      </c>
      <c r="D29" s="18">
        <f t="shared" si="2"/>
        <v>1.18218</v>
      </c>
      <c r="E29" s="18">
        <f t="shared" si="3"/>
        <v>1.11246</v>
      </c>
      <c r="F29" s="18">
        <f t="shared" si="4"/>
        <v>1.0370600000000001</v>
      </c>
      <c r="G29" s="34">
        <f t="shared" si="5"/>
        <v>118.178</v>
      </c>
      <c r="H29">
        <f t="shared" si="6"/>
        <v>13</v>
      </c>
      <c r="I29" s="26"/>
      <c r="J29" s="23"/>
      <c r="L29" s="27"/>
    </row>
    <row r="30" spans="1:17" s="5" customFormat="1" ht="18.75" customHeight="1" x14ac:dyDescent="0.15">
      <c r="A30" s="39" t="s">
        <v>62</v>
      </c>
      <c r="B30" s="18">
        <f t="shared" si="0"/>
        <v>1.2375400000000001</v>
      </c>
      <c r="C30" s="18">
        <f t="shared" si="1"/>
        <v>1.1957100000000001</v>
      </c>
      <c r="D30" s="18">
        <f t="shared" si="2"/>
        <v>1.18231</v>
      </c>
      <c r="E30" s="18">
        <f t="shared" si="3"/>
        <v>1.1125799999999999</v>
      </c>
      <c r="F30" s="18">
        <f t="shared" si="4"/>
        <v>1.0371699999999999</v>
      </c>
      <c r="G30" s="34">
        <f t="shared" si="5"/>
        <v>118.19033</v>
      </c>
      <c r="H30">
        <f t="shared" si="6"/>
        <v>14</v>
      </c>
      <c r="I30" s="26"/>
      <c r="J30" s="23"/>
      <c r="L30" s="27"/>
    </row>
    <row r="31" spans="1:17" s="5" customFormat="1" ht="18.75" customHeight="1" x14ac:dyDescent="0.15">
      <c r="A31" s="39" t="s">
        <v>63</v>
      </c>
      <c r="B31" s="18">
        <f t="shared" si="0"/>
        <v>1.23767</v>
      </c>
      <c r="C31" s="18">
        <f t="shared" si="1"/>
        <v>1.1958299999999999</v>
      </c>
      <c r="D31" s="18">
        <f t="shared" si="2"/>
        <v>1.1824300000000001</v>
      </c>
      <c r="E31" s="18">
        <f t="shared" si="3"/>
        <v>1.11269</v>
      </c>
      <c r="F31" s="18">
        <f t="shared" si="4"/>
        <v>1.0372699999999999</v>
      </c>
      <c r="G31" s="34">
        <f t="shared" si="5"/>
        <v>118.20267</v>
      </c>
      <c r="H31">
        <f t="shared" si="6"/>
        <v>15</v>
      </c>
      <c r="I31" s="26"/>
      <c r="J31" s="23"/>
      <c r="L31" s="27"/>
    </row>
    <row r="32" spans="1:17" s="5" customFormat="1" ht="18.75" customHeight="1" x14ac:dyDescent="0.15">
      <c r="A32" s="39" t="s">
        <v>64</v>
      </c>
      <c r="B32" s="18">
        <f t="shared" si="0"/>
        <v>1.2377899999999999</v>
      </c>
      <c r="C32" s="18">
        <f t="shared" si="1"/>
        <v>1.1959599999999999</v>
      </c>
      <c r="D32" s="18">
        <f t="shared" si="2"/>
        <v>1.18255</v>
      </c>
      <c r="E32" s="18">
        <f t="shared" si="3"/>
        <v>1.1128100000000001</v>
      </c>
      <c r="F32" s="18">
        <f t="shared" si="4"/>
        <v>1.03738</v>
      </c>
      <c r="G32" s="34">
        <f t="shared" si="5"/>
        <v>118.215</v>
      </c>
      <c r="H32">
        <f t="shared" si="6"/>
        <v>16</v>
      </c>
      <c r="I32" s="26"/>
      <c r="J32" s="23"/>
      <c r="L32" s="27"/>
    </row>
    <row r="33" spans="1:17" s="5" customFormat="1" ht="18.75" customHeight="1" x14ac:dyDescent="0.15">
      <c r="A33" s="39" t="s">
        <v>65</v>
      </c>
      <c r="B33" s="18">
        <f t="shared" si="0"/>
        <v>1.2379199999999999</v>
      </c>
      <c r="C33" s="18">
        <f t="shared" si="1"/>
        <v>1.19608</v>
      </c>
      <c r="D33" s="18">
        <f t="shared" si="2"/>
        <v>1.18268</v>
      </c>
      <c r="E33" s="18">
        <f t="shared" si="3"/>
        <v>1.11293</v>
      </c>
      <c r="F33" s="18">
        <f t="shared" si="4"/>
        <v>1.03749</v>
      </c>
      <c r="G33" s="34">
        <f t="shared" si="5"/>
        <v>118.22732999999999</v>
      </c>
      <c r="H33">
        <f t="shared" si="6"/>
        <v>17</v>
      </c>
      <c r="I33" s="26"/>
      <c r="J33" s="23"/>
      <c r="L33" s="27"/>
      <c r="N33"/>
      <c r="O33"/>
      <c r="P33"/>
    </row>
    <row r="34" spans="1:17" s="5" customFormat="1" ht="18.75" customHeight="1" x14ac:dyDescent="0.15">
      <c r="A34" s="39" t="s">
        <v>66</v>
      </c>
      <c r="B34" s="18">
        <f t="shared" si="0"/>
        <v>1.2380500000000001</v>
      </c>
      <c r="C34" s="18">
        <f t="shared" si="1"/>
        <v>1.19621</v>
      </c>
      <c r="D34" s="18">
        <f t="shared" si="2"/>
        <v>1.1828000000000001</v>
      </c>
      <c r="E34" s="18">
        <f t="shared" si="3"/>
        <v>1.11304</v>
      </c>
      <c r="F34" s="18">
        <f t="shared" si="4"/>
        <v>1.0376000000000001</v>
      </c>
      <c r="G34" s="34">
        <f t="shared" si="5"/>
        <v>118.23967</v>
      </c>
      <c r="H34">
        <f t="shared" si="6"/>
        <v>18</v>
      </c>
      <c r="I34" s="26"/>
      <c r="J34" s="23"/>
      <c r="L34" s="27"/>
      <c r="N34"/>
      <c r="O34"/>
      <c r="P34"/>
      <c r="Q34"/>
    </row>
    <row r="35" spans="1:17" ht="18.75" customHeight="1" x14ac:dyDescent="0.15">
      <c r="A35" s="39" t="s">
        <v>67</v>
      </c>
      <c r="B35" s="18">
        <f t="shared" si="0"/>
        <v>1.2381800000000001</v>
      </c>
      <c r="C35" s="18">
        <f t="shared" si="1"/>
        <v>1.1963299999999999</v>
      </c>
      <c r="D35" s="18">
        <f t="shared" si="2"/>
        <v>1.18292</v>
      </c>
      <c r="E35" s="18">
        <f t="shared" si="3"/>
        <v>1.1131599999999999</v>
      </c>
      <c r="F35" s="18">
        <f t="shared" si="4"/>
        <v>1.0377099999999999</v>
      </c>
      <c r="G35" s="34">
        <f t="shared" si="5"/>
        <v>118.252</v>
      </c>
      <c r="H35">
        <f t="shared" si="6"/>
        <v>19</v>
      </c>
      <c r="I35" s="26"/>
    </row>
    <row r="36" spans="1:17" ht="18.75" customHeight="1" x14ac:dyDescent="0.15">
      <c r="A36" s="39" t="s">
        <v>68</v>
      </c>
      <c r="B36" s="18">
        <f t="shared" si="0"/>
        <v>1.23831</v>
      </c>
      <c r="C36" s="18">
        <f t="shared" si="1"/>
        <v>1.1964600000000001</v>
      </c>
      <c r="D36" s="18">
        <f t="shared" si="2"/>
        <v>1.1830499999999999</v>
      </c>
      <c r="E36" s="18">
        <f t="shared" si="3"/>
        <v>1.11328</v>
      </c>
      <c r="F36" s="18">
        <f t="shared" si="4"/>
        <v>1.03782</v>
      </c>
      <c r="G36" s="34">
        <f t="shared" si="5"/>
        <v>118.26433</v>
      </c>
      <c r="H36">
        <f t="shared" si="6"/>
        <v>20</v>
      </c>
      <c r="I36" s="26"/>
    </row>
    <row r="37" spans="1:17" ht="18.75" customHeight="1" x14ac:dyDescent="0.15">
      <c r="A37" s="39" t="s">
        <v>69</v>
      </c>
      <c r="B37" s="18">
        <f t="shared" si="0"/>
        <v>1.23844</v>
      </c>
      <c r="C37" s="18">
        <f t="shared" si="1"/>
        <v>1.19658</v>
      </c>
      <c r="D37" s="18">
        <f t="shared" si="2"/>
        <v>1.1831700000000001</v>
      </c>
      <c r="E37" s="18">
        <f t="shared" si="3"/>
        <v>1.1133900000000001</v>
      </c>
      <c r="F37" s="18">
        <f t="shared" si="4"/>
        <v>1.03792</v>
      </c>
      <c r="G37" s="34">
        <f t="shared" si="5"/>
        <v>118.27667</v>
      </c>
      <c r="H37">
        <f t="shared" si="6"/>
        <v>21</v>
      </c>
      <c r="I37" s="26"/>
    </row>
    <row r="38" spans="1:17" ht="18.75" customHeight="1" x14ac:dyDescent="0.15">
      <c r="A38" s="39" t="s">
        <v>70</v>
      </c>
      <c r="B38" s="18">
        <f t="shared" si="0"/>
        <v>1.2385699999999999</v>
      </c>
      <c r="C38" s="18">
        <f t="shared" si="1"/>
        <v>1.1967099999999999</v>
      </c>
      <c r="D38" s="18">
        <f t="shared" si="2"/>
        <v>1.18329</v>
      </c>
      <c r="E38" s="18">
        <f t="shared" si="3"/>
        <v>1.11351</v>
      </c>
      <c r="F38" s="18">
        <f t="shared" si="4"/>
        <v>1.03803</v>
      </c>
      <c r="G38" s="34">
        <f t="shared" si="5"/>
        <v>118.289</v>
      </c>
      <c r="H38">
        <f t="shared" si="6"/>
        <v>22</v>
      </c>
      <c r="I38" s="26"/>
    </row>
    <row r="39" spans="1:17" ht="18.75" customHeight="1" x14ac:dyDescent="0.15">
      <c r="A39" s="39" t="s">
        <v>71</v>
      </c>
      <c r="B39" s="18">
        <f t="shared" si="0"/>
        <v>1.2386999999999999</v>
      </c>
      <c r="C39" s="18">
        <f t="shared" si="1"/>
        <v>1.1968300000000001</v>
      </c>
      <c r="D39" s="18">
        <f t="shared" si="2"/>
        <v>1.1834199999999999</v>
      </c>
      <c r="E39" s="18">
        <f t="shared" si="3"/>
        <v>1.1136200000000001</v>
      </c>
      <c r="F39" s="18">
        <f t="shared" si="4"/>
        <v>1.0381400000000001</v>
      </c>
      <c r="G39" s="34">
        <f t="shared" si="5"/>
        <v>118.30132999999999</v>
      </c>
      <c r="H39">
        <f t="shared" si="6"/>
        <v>23</v>
      </c>
      <c r="I39" s="26"/>
    </row>
    <row r="40" spans="1:17" ht="18.75" customHeight="1" x14ac:dyDescent="0.15">
      <c r="A40" s="39" t="s">
        <v>72</v>
      </c>
      <c r="B40" s="18">
        <f t="shared" si="0"/>
        <v>1.2388300000000001</v>
      </c>
      <c r="C40" s="18">
        <f t="shared" si="1"/>
        <v>1.19696</v>
      </c>
      <c r="D40" s="18">
        <f t="shared" si="2"/>
        <v>1.18354</v>
      </c>
      <c r="E40" s="18">
        <f t="shared" si="3"/>
        <v>1.11374</v>
      </c>
      <c r="F40" s="18">
        <f t="shared" si="4"/>
        <v>1.0382499999999999</v>
      </c>
      <c r="G40" s="34">
        <f t="shared" si="5"/>
        <v>118.31367</v>
      </c>
      <c r="H40">
        <f t="shared" si="6"/>
        <v>24</v>
      </c>
      <c r="I40" s="26"/>
    </row>
    <row r="41" spans="1:17" ht="18.75" customHeight="1" x14ac:dyDescent="0.15">
      <c r="A41" s="39" t="s">
        <v>73</v>
      </c>
      <c r="B41" s="18">
        <f t="shared" si="0"/>
        <v>1.2389600000000001</v>
      </c>
      <c r="C41" s="18">
        <f t="shared" si="1"/>
        <v>1.1970799999999999</v>
      </c>
      <c r="D41" s="18">
        <f t="shared" si="2"/>
        <v>1.1836599999999999</v>
      </c>
      <c r="E41" s="18">
        <f t="shared" si="3"/>
        <v>1.1138600000000001</v>
      </c>
      <c r="F41" s="18">
        <f t="shared" si="4"/>
        <v>1.0383599999999999</v>
      </c>
      <c r="G41" s="34">
        <f t="shared" si="5"/>
        <v>118.32599999999999</v>
      </c>
      <c r="H41">
        <f t="shared" si="6"/>
        <v>25</v>
      </c>
      <c r="I41" s="26"/>
    </row>
    <row r="42" spans="1:17" ht="18.75" customHeight="1" x14ac:dyDescent="0.15">
      <c r="A42" s="39" t="s">
        <v>74</v>
      </c>
      <c r="B42" s="18">
        <f t="shared" si="0"/>
        <v>1.23909</v>
      </c>
      <c r="C42" s="18">
        <f t="shared" si="1"/>
        <v>1.1972100000000001</v>
      </c>
      <c r="D42" s="18">
        <f t="shared" si="2"/>
        <v>1.1837899999999999</v>
      </c>
      <c r="E42" s="18">
        <f t="shared" si="3"/>
        <v>1.1139699999999999</v>
      </c>
      <c r="F42" s="18">
        <f t="shared" si="4"/>
        <v>1.03847</v>
      </c>
      <c r="G42" s="34">
        <f t="shared" si="5"/>
        <v>118.33833</v>
      </c>
      <c r="H42">
        <f t="shared" si="6"/>
        <v>26</v>
      </c>
      <c r="I42" s="26"/>
    </row>
    <row r="43" spans="1:17" ht="18.75" customHeight="1" x14ac:dyDescent="0.15">
      <c r="A43" s="39" t="s">
        <v>75</v>
      </c>
      <c r="B43" s="18">
        <f t="shared" si="0"/>
        <v>1.2392099999999999</v>
      </c>
      <c r="C43" s="18">
        <f t="shared" si="1"/>
        <v>1.19733</v>
      </c>
      <c r="D43" s="18">
        <f t="shared" si="2"/>
        <v>1.18391</v>
      </c>
      <c r="E43" s="18">
        <f t="shared" si="3"/>
        <v>1.11409</v>
      </c>
      <c r="F43" s="18">
        <f t="shared" si="4"/>
        <v>1.03857</v>
      </c>
      <c r="G43" s="34">
        <f t="shared" si="5"/>
        <v>118.35066999999999</v>
      </c>
      <c r="H43">
        <f t="shared" si="6"/>
        <v>27</v>
      </c>
      <c r="I43" s="26"/>
    </row>
    <row r="44" spans="1:17" ht="18.75" customHeight="1" x14ac:dyDescent="0.15">
      <c r="A44" s="39" t="s">
        <v>76</v>
      </c>
      <c r="B44" s="18">
        <f t="shared" si="0"/>
        <v>1.2393400000000001</v>
      </c>
      <c r="C44" s="18">
        <f t="shared" si="1"/>
        <v>1.19746</v>
      </c>
      <c r="D44" s="18">
        <f t="shared" si="2"/>
        <v>1.1840299999999999</v>
      </c>
      <c r="E44" s="18">
        <f t="shared" si="3"/>
        <v>1.1142000000000001</v>
      </c>
      <c r="F44" s="18">
        <f t="shared" si="4"/>
        <v>1.03868</v>
      </c>
      <c r="G44" s="34">
        <f t="shared" si="5"/>
        <v>118.363</v>
      </c>
      <c r="H44">
        <f t="shared" si="6"/>
        <v>28</v>
      </c>
      <c r="I44" s="26"/>
    </row>
    <row r="45" spans="1:17" ht="18.75" customHeight="1" x14ac:dyDescent="0.15">
      <c r="A45" s="39" t="s">
        <v>77</v>
      </c>
      <c r="B45" s="18">
        <f t="shared" si="0"/>
        <v>1.2394700000000001</v>
      </c>
      <c r="C45" s="18">
        <f t="shared" si="1"/>
        <v>1.1975800000000001</v>
      </c>
      <c r="D45" s="18">
        <f t="shared" si="2"/>
        <v>1.1841600000000001</v>
      </c>
      <c r="E45" s="18">
        <f t="shared" si="3"/>
        <v>1.11432</v>
      </c>
      <c r="F45" s="18">
        <f t="shared" si="4"/>
        <v>1.0387900000000001</v>
      </c>
      <c r="G45" s="34">
        <f t="shared" si="5"/>
        <v>118.37533000000001</v>
      </c>
      <c r="H45">
        <f t="shared" si="6"/>
        <v>29</v>
      </c>
      <c r="I45" s="26"/>
    </row>
    <row r="46" spans="1:17" ht="18.75" customHeight="1" x14ac:dyDescent="0.15">
      <c r="A46" s="39" t="s">
        <v>78</v>
      </c>
      <c r="B46" s="18">
        <f t="shared" si="0"/>
        <v>1.2396</v>
      </c>
      <c r="C46" s="18">
        <f t="shared" si="1"/>
        <v>1.1977100000000001</v>
      </c>
      <c r="D46" s="18">
        <f t="shared" si="2"/>
        <v>1.18428</v>
      </c>
      <c r="E46" s="18">
        <f t="shared" si="3"/>
        <v>1.1144400000000001</v>
      </c>
      <c r="F46" s="18">
        <f t="shared" si="4"/>
        <v>1.0388999999999999</v>
      </c>
      <c r="G46" s="34">
        <f t="shared" si="5"/>
        <v>118.38767</v>
      </c>
      <c r="H46">
        <f t="shared" si="6"/>
        <v>30</v>
      </c>
      <c r="I46" s="26"/>
    </row>
    <row r="47" spans="1:17" ht="18.75" customHeight="1" thickBot="1" x14ac:dyDescent="0.2">
      <c r="A47" s="67"/>
      <c r="B47" s="68"/>
      <c r="C47" s="68"/>
      <c r="D47" s="68"/>
      <c r="E47" s="68"/>
      <c r="F47" s="68"/>
      <c r="G47" s="93"/>
    </row>
    <row r="48" spans="1:17" ht="18.75" customHeight="1" x14ac:dyDescent="0.15">
      <c r="A48" s="103" t="s">
        <v>17</v>
      </c>
      <c r="B48" s="83"/>
      <c r="C48" s="48">
        <v>104.7</v>
      </c>
      <c r="D48" s="48"/>
      <c r="E48" s="48"/>
      <c r="F48" s="48"/>
      <c r="G48" s="49"/>
      <c r="H48" s="4"/>
    </row>
    <row r="49" spans="1:34" ht="18.75" customHeight="1" x14ac:dyDescent="0.15">
      <c r="A49" s="104"/>
      <c r="B49" s="84"/>
      <c r="C49" s="50" t="s">
        <v>18</v>
      </c>
      <c r="D49" s="50"/>
      <c r="E49" s="50"/>
      <c r="F49" s="50"/>
      <c r="G49" s="51"/>
      <c r="H49" s="4"/>
      <c r="I49" s="29"/>
      <c r="J49" s="29"/>
    </row>
    <row r="50" spans="1:34" s="4" customFormat="1" ht="17.25" customHeight="1" x14ac:dyDescent="0.15">
      <c r="A50" s="104"/>
      <c r="B50" s="85"/>
      <c r="C50" s="52">
        <v>122.4</v>
      </c>
      <c r="D50" s="52"/>
      <c r="E50" s="52"/>
      <c r="F50" s="52"/>
      <c r="G50" s="53"/>
      <c r="I50" s="29"/>
      <c r="J50" s="29"/>
      <c r="N50" s="2"/>
      <c r="O50" s="2"/>
      <c r="P50" s="2"/>
      <c r="Q50" s="2"/>
      <c r="R50" s="2"/>
      <c r="T50" s="29"/>
      <c r="AB50" s="60"/>
      <c r="AC50" s="60"/>
      <c r="AD50" s="60"/>
      <c r="AE50" s="60"/>
      <c r="AF50" s="60"/>
      <c r="AG50" s="60"/>
      <c r="AH50" s="60"/>
    </row>
    <row r="51" spans="1:34" s="4" customFormat="1" ht="8.25" customHeight="1" x14ac:dyDescent="0.15">
      <c r="A51" s="72"/>
      <c r="B51" s="73"/>
      <c r="C51" s="52"/>
      <c r="D51" s="52"/>
      <c r="E51" s="52"/>
      <c r="F51" s="52"/>
      <c r="G51" s="53"/>
      <c r="I51" s="29"/>
      <c r="J51" s="29"/>
      <c r="T51" s="29"/>
      <c r="AB51" s="60"/>
      <c r="AC51" s="60"/>
      <c r="AD51" s="60"/>
      <c r="AE51" s="60"/>
      <c r="AF51" s="60"/>
      <c r="AG51" s="60"/>
      <c r="AH51" s="60"/>
    </row>
    <row r="52" spans="1:34" s="4" customFormat="1" ht="14.25" thickBot="1" x14ac:dyDescent="0.2">
      <c r="A52" s="54" t="s">
        <v>19</v>
      </c>
      <c r="B52" s="55"/>
      <c r="C52" s="55"/>
      <c r="D52" s="55"/>
      <c r="E52" s="55"/>
      <c r="F52" s="55"/>
      <c r="G52" s="56"/>
      <c r="I52" s="29"/>
      <c r="J52" s="29"/>
      <c r="T52" s="29"/>
      <c r="V52" s="36"/>
      <c r="W52" s="36"/>
      <c r="X52" s="36"/>
      <c r="AB52" s="60"/>
      <c r="AC52" s="60"/>
      <c r="AD52" s="60"/>
      <c r="AE52" s="60"/>
      <c r="AF52" s="60"/>
      <c r="AG52" s="60"/>
      <c r="AH52" s="60"/>
    </row>
    <row r="53" spans="1:34" s="4" customFormat="1" ht="13.5" customHeight="1" x14ac:dyDescent="0.15">
      <c r="A53" s="35" t="s">
        <v>20</v>
      </c>
      <c r="B53" s="36"/>
      <c r="G53" s="36"/>
      <c r="H53" s="36"/>
      <c r="I53" s="29"/>
      <c r="J53" s="29"/>
      <c r="K53" s="36"/>
      <c r="L53" s="36"/>
      <c r="T53" s="29"/>
      <c r="V53" s="36"/>
      <c r="W53" s="36"/>
      <c r="X53" s="36"/>
      <c r="AB53" s="60"/>
      <c r="AC53" s="60"/>
      <c r="AD53" s="60"/>
      <c r="AE53" s="60"/>
      <c r="AF53" s="60"/>
      <c r="AG53" s="60"/>
      <c r="AH53" s="60"/>
    </row>
    <row r="54" spans="1:34" s="4" customFormat="1" ht="13.5" x14ac:dyDescent="0.15">
      <c r="A54" s="36"/>
      <c r="B54" s="37"/>
      <c r="G54" s="36"/>
      <c r="H54" s="36"/>
      <c r="I54" s="37"/>
      <c r="J54" s="37"/>
      <c r="K54" s="36"/>
      <c r="L54" s="36"/>
      <c r="T54" s="29"/>
      <c r="V54" s="36"/>
      <c r="W54" s="36"/>
      <c r="X54" s="36"/>
      <c r="Y54" s="36"/>
      <c r="AB54" s="60"/>
      <c r="AC54" s="60"/>
      <c r="AD54" s="60"/>
      <c r="AE54" s="60"/>
      <c r="AF54" s="60"/>
      <c r="AG54" s="60"/>
      <c r="AH54" s="60"/>
    </row>
    <row r="55" spans="1:34" s="36" customFormat="1" ht="15" thickBot="1" x14ac:dyDescent="0.2">
      <c r="B55" s="38"/>
      <c r="C55" s="4"/>
      <c r="D55" s="4"/>
      <c r="E55" s="4"/>
      <c r="F55" s="4"/>
      <c r="I55" s="37"/>
      <c r="J55" s="37"/>
      <c r="N55" s="4"/>
      <c r="O55" s="4"/>
      <c r="P55" s="4"/>
      <c r="Q55" s="4"/>
      <c r="R55" s="4"/>
      <c r="T55" s="29"/>
      <c r="U55" s="4"/>
      <c r="V55" s="2"/>
      <c r="W55" s="2"/>
      <c r="X55" s="2"/>
      <c r="AB55" s="61"/>
      <c r="AC55" s="61"/>
      <c r="AD55" s="61"/>
      <c r="AE55" s="61"/>
      <c r="AF55" s="61"/>
      <c r="AG55" s="61"/>
      <c r="AH55" s="61"/>
    </row>
    <row r="56" spans="1:34" s="36" customFormat="1" ht="14.25" x14ac:dyDescent="0.15">
      <c r="A56" s="98" t="s">
        <v>21</v>
      </c>
      <c r="B56" s="86"/>
      <c r="C56" s="42">
        <v>107.79</v>
      </c>
      <c r="D56" s="42"/>
      <c r="E56" s="42"/>
      <c r="F56" s="42"/>
      <c r="G56" s="6"/>
      <c r="H56" s="2"/>
      <c r="I56" s="37"/>
      <c r="J56" s="37"/>
      <c r="K56" s="2"/>
      <c r="L56" s="2"/>
      <c r="T56" s="29"/>
      <c r="U56" s="4"/>
      <c r="V56" s="2"/>
      <c r="W56" s="2"/>
      <c r="X56" s="2"/>
      <c r="Y56" s="2"/>
      <c r="AB56" s="61"/>
      <c r="AC56" s="61"/>
      <c r="AD56" s="61"/>
      <c r="AE56" s="61"/>
      <c r="AF56" s="61"/>
      <c r="AG56" s="61"/>
      <c r="AH56" s="61"/>
    </row>
    <row r="57" spans="1:34" s="36" customFormat="1" ht="14.25" x14ac:dyDescent="0.15">
      <c r="A57" s="99"/>
      <c r="B57" s="87"/>
      <c r="C57" s="43" t="s">
        <v>22</v>
      </c>
      <c r="D57" s="43"/>
      <c r="E57" s="43"/>
      <c r="F57" s="43"/>
      <c r="G57" s="7"/>
      <c r="H57" s="2"/>
      <c r="I57" s="28"/>
      <c r="J57" s="28"/>
      <c r="K57" s="2"/>
      <c r="L57" s="2"/>
      <c r="M57" s="2"/>
      <c r="T57" s="29"/>
      <c r="U57" s="4"/>
      <c r="V57" s="2"/>
      <c r="W57" s="2"/>
      <c r="X57" s="2"/>
      <c r="Y57" s="2"/>
      <c r="AB57" s="61"/>
      <c r="AC57" s="61"/>
      <c r="AD57" s="61"/>
      <c r="AE57" s="61"/>
      <c r="AF57" s="61"/>
      <c r="AG57" s="61"/>
      <c r="AH57" s="61"/>
    </row>
    <row r="58" spans="1:34" s="2" customFormat="1" ht="17.25" customHeight="1" x14ac:dyDescent="0.15">
      <c r="A58" s="99"/>
      <c r="B58" s="88"/>
      <c r="C58" s="44">
        <v>107.5</v>
      </c>
      <c r="D58" s="44"/>
      <c r="E58" s="44"/>
      <c r="F58" s="44"/>
      <c r="G58" s="7"/>
      <c r="I58" s="28"/>
      <c r="J58" s="28"/>
      <c r="N58" s="36"/>
      <c r="O58" s="36"/>
      <c r="P58" s="36"/>
      <c r="Q58" s="36"/>
      <c r="R58" s="36"/>
      <c r="T58" s="29"/>
      <c r="U58" s="4"/>
      <c r="AB58" s="59"/>
      <c r="AC58" s="59"/>
      <c r="AD58" s="59"/>
      <c r="AE58" s="59"/>
      <c r="AF58" s="59"/>
      <c r="AG58" s="59"/>
      <c r="AH58" s="59"/>
    </row>
    <row r="59" spans="1:34" s="2" customFormat="1" ht="8.25" customHeight="1" x14ac:dyDescent="0.15">
      <c r="A59" s="57"/>
      <c r="B59" s="78"/>
      <c r="C59" s="44"/>
      <c r="D59" s="44"/>
      <c r="E59" s="44"/>
      <c r="F59" s="44"/>
      <c r="G59" s="7"/>
      <c r="I59" s="28"/>
      <c r="J59" s="28"/>
      <c r="T59" s="23"/>
      <c r="U59"/>
      <c r="AB59" s="59"/>
      <c r="AC59" s="59"/>
      <c r="AD59" s="59"/>
      <c r="AE59" s="59"/>
      <c r="AF59" s="59"/>
      <c r="AG59" s="59"/>
      <c r="AH59" s="59"/>
    </row>
    <row r="60" spans="1:34" s="2" customFormat="1" ht="15" thickBot="1" x14ac:dyDescent="0.2">
      <c r="A60" s="3" t="s">
        <v>23</v>
      </c>
      <c r="B60" s="45"/>
      <c r="C60" s="45"/>
      <c r="D60" s="45"/>
      <c r="E60" s="45"/>
      <c r="F60" s="45"/>
      <c r="G60" s="62"/>
      <c r="H60" s="4"/>
      <c r="I60" s="28"/>
      <c r="J60" s="28"/>
      <c r="T60" s="28"/>
      <c r="V60" s="36"/>
      <c r="W60" s="36"/>
      <c r="X60" s="36"/>
      <c r="AB60" s="59"/>
      <c r="AC60" s="59"/>
      <c r="AD60" s="59"/>
      <c r="AE60" s="59"/>
      <c r="AF60" s="59"/>
      <c r="AG60" s="59"/>
      <c r="AH60" s="59"/>
    </row>
    <row r="61" spans="1:34" s="2" customFormat="1" ht="9.75" customHeight="1" x14ac:dyDescent="0.15">
      <c r="A61" s="35" t="s">
        <v>20</v>
      </c>
      <c r="B61" s="36"/>
      <c r="C61" s="4"/>
      <c r="D61" s="4"/>
      <c r="E61" s="4"/>
      <c r="F61" s="4"/>
      <c r="G61" s="36"/>
      <c r="H61" s="36"/>
      <c r="I61" s="29"/>
      <c r="J61" s="29"/>
      <c r="K61" s="36"/>
      <c r="L61" s="36"/>
      <c r="T61" s="28"/>
      <c r="V61" s="36"/>
      <c r="W61" s="36"/>
      <c r="X61" s="36"/>
      <c r="AB61" s="59"/>
      <c r="AC61" s="59"/>
      <c r="AD61" s="59"/>
      <c r="AE61" s="59"/>
      <c r="AF61" s="59"/>
      <c r="AG61" s="59"/>
      <c r="AH61" s="59"/>
    </row>
    <row r="62" spans="1:34" s="4" customFormat="1" ht="14.25" x14ac:dyDescent="0.15">
      <c r="A62" s="36"/>
      <c r="B62" s="37"/>
      <c r="G62" s="36"/>
      <c r="H62" s="36"/>
      <c r="I62" s="37"/>
      <c r="J62" s="37"/>
      <c r="K62" s="36"/>
      <c r="L62" s="36"/>
      <c r="M62" s="2"/>
      <c r="N62" s="2"/>
      <c r="O62" s="2"/>
      <c r="P62" s="2"/>
      <c r="Q62" s="2"/>
      <c r="R62" s="2"/>
      <c r="T62" s="29"/>
      <c r="AB62" s="60"/>
      <c r="AC62" s="60"/>
      <c r="AD62" s="60"/>
      <c r="AE62" s="60"/>
      <c r="AF62" s="60"/>
      <c r="AG62" s="60"/>
      <c r="AH62" s="60"/>
    </row>
    <row r="63" spans="1:34" s="36" customFormat="1" ht="15" thickBot="1" x14ac:dyDescent="0.2">
      <c r="B63" s="38"/>
      <c r="C63" s="4"/>
      <c r="D63" s="4"/>
      <c r="E63" s="4"/>
      <c r="F63" s="4"/>
      <c r="I63" s="37"/>
      <c r="J63" s="37"/>
      <c r="K63" s="4"/>
      <c r="L63" s="4"/>
      <c r="M63" s="4"/>
      <c r="N63" s="4"/>
      <c r="O63" s="4"/>
      <c r="P63" s="4"/>
      <c r="Q63" s="4"/>
      <c r="R63" s="4"/>
      <c r="T63" s="28"/>
      <c r="U63" s="2"/>
      <c r="V63" s="4"/>
      <c r="W63" s="4"/>
      <c r="X63" s="4"/>
      <c r="AB63" s="61"/>
      <c r="AC63" s="61"/>
      <c r="AD63" s="61"/>
      <c r="AE63" s="61"/>
      <c r="AF63" s="61"/>
      <c r="AG63" s="61"/>
      <c r="AH63" s="61"/>
    </row>
    <row r="64" spans="1:34" s="36" customFormat="1" ht="14.25" x14ac:dyDescent="0.15">
      <c r="A64" s="96" t="s">
        <v>24</v>
      </c>
      <c r="B64" s="89"/>
      <c r="C64" s="75">
        <v>101.45</v>
      </c>
      <c r="D64" s="75"/>
      <c r="E64" s="75"/>
      <c r="F64" s="81"/>
      <c r="G64" s="9"/>
      <c r="H64" s="4"/>
      <c r="I64" s="37"/>
      <c r="J64" s="37"/>
      <c r="K64" s="4"/>
      <c r="L64" s="4"/>
      <c r="T64" s="28"/>
      <c r="U64" s="2"/>
      <c r="V64" s="4"/>
      <c r="W64" s="4"/>
      <c r="X64" s="4"/>
      <c r="Y64" s="4"/>
      <c r="AB64" s="61"/>
      <c r="AC64" s="61"/>
      <c r="AD64" s="61"/>
      <c r="AE64" s="61"/>
      <c r="AF64" s="61"/>
      <c r="AG64" s="61"/>
      <c r="AH64" s="61"/>
    </row>
    <row r="65" spans="1:34" s="36" customFormat="1" ht="14.25" x14ac:dyDescent="0.15">
      <c r="A65" s="97"/>
      <c r="B65" s="90"/>
      <c r="C65" s="10" t="s">
        <v>22</v>
      </c>
      <c r="D65" s="10"/>
      <c r="E65" s="10"/>
      <c r="F65" s="10"/>
      <c r="G65" s="11"/>
      <c r="H65" s="4"/>
      <c r="I65" s="29"/>
      <c r="J65" s="29"/>
      <c r="K65" s="4"/>
      <c r="L65" s="4"/>
      <c r="M65" s="4"/>
      <c r="T65" s="28"/>
      <c r="U65" s="2"/>
      <c r="V65" s="4"/>
      <c r="W65" s="4"/>
      <c r="X65" s="4"/>
      <c r="Y65" s="4"/>
      <c r="AB65" s="61"/>
      <c r="AC65" s="61"/>
      <c r="AD65" s="61"/>
      <c r="AE65" s="61"/>
      <c r="AF65" s="61"/>
      <c r="AG65" s="61"/>
      <c r="AH65" s="61"/>
    </row>
    <row r="66" spans="1:34" s="4" customFormat="1" ht="17.25" customHeight="1" x14ac:dyDescent="0.15">
      <c r="A66" s="97"/>
      <c r="B66" s="91"/>
      <c r="C66" s="76">
        <v>111.35</v>
      </c>
      <c r="D66" s="76"/>
      <c r="E66" s="76"/>
      <c r="F66" s="82"/>
      <c r="G66" s="12"/>
      <c r="I66" s="29"/>
      <c r="J66" s="29"/>
      <c r="N66" s="36"/>
      <c r="O66" s="36"/>
      <c r="P66" s="36"/>
      <c r="Q66" s="36"/>
      <c r="R66" s="36"/>
      <c r="T66" s="29"/>
      <c r="AB66" s="60"/>
      <c r="AC66" s="60"/>
      <c r="AD66" s="60"/>
      <c r="AE66" s="60"/>
      <c r="AF66" s="60"/>
      <c r="AG66" s="60"/>
      <c r="AH66" s="60"/>
    </row>
    <row r="67" spans="1:34" s="4" customFormat="1" ht="8.25" customHeight="1" x14ac:dyDescent="0.15">
      <c r="A67" s="74"/>
      <c r="B67" s="76"/>
      <c r="C67" s="76"/>
      <c r="D67" s="76"/>
      <c r="E67" s="76"/>
      <c r="F67" s="82"/>
      <c r="G67" s="12"/>
      <c r="I67" s="29"/>
      <c r="J67" s="29"/>
      <c r="T67" s="29"/>
      <c r="AB67" s="60"/>
      <c r="AC67" s="60"/>
      <c r="AD67" s="60"/>
      <c r="AE67" s="60"/>
      <c r="AF67" s="60"/>
      <c r="AG67" s="60"/>
      <c r="AH67" s="60"/>
    </row>
    <row r="68" spans="1:34" s="4" customFormat="1" ht="14.25" thickBot="1" x14ac:dyDescent="0.2">
      <c r="A68" s="13" t="s">
        <v>25</v>
      </c>
      <c r="B68" s="14"/>
      <c r="C68" s="14"/>
      <c r="D68" s="14"/>
      <c r="E68" s="14"/>
      <c r="F68" s="14"/>
      <c r="G68" s="15"/>
      <c r="I68" s="29"/>
      <c r="J68" s="29"/>
      <c r="T68" s="29"/>
      <c r="AB68" s="60"/>
      <c r="AC68" s="60"/>
      <c r="AD68" s="60"/>
      <c r="AE68" s="60"/>
      <c r="AF68" s="60"/>
      <c r="AG68" s="60"/>
      <c r="AH68" s="60"/>
    </row>
    <row r="69" spans="1:34" s="4" customFormat="1" ht="9.75" customHeight="1" x14ac:dyDescent="0.15">
      <c r="A69" s="35" t="s">
        <v>20</v>
      </c>
      <c r="B69" s="36"/>
      <c r="C69" s="36"/>
      <c r="D69" s="36"/>
      <c r="E69" s="36"/>
      <c r="F69" s="36"/>
      <c r="G69" s="36"/>
      <c r="H69" s="36"/>
      <c r="I69" s="29"/>
      <c r="J69" s="29"/>
      <c r="T69" s="29"/>
      <c r="AB69" s="60"/>
      <c r="AC69" s="60"/>
      <c r="AD69" s="60"/>
      <c r="AE69" s="60"/>
      <c r="AF69" s="60"/>
      <c r="AG69" s="60"/>
      <c r="AH69" s="60"/>
    </row>
    <row r="70" spans="1:34" s="4" customFormat="1" ht="13.5" x14ac:dyDescent="0.15">
      <c r="A70" s="36"/>
      <c r="B70" s="36"/>
      <c r="C70" s="36"/>
      <c r="D70" s="36"/>
      <c r="E70" s="36"/>
      <c r="F70" s="36"/>
      <c r="G70" s="36"/>
      <c r="H70" s="36"/>
      <c r="I70" s="37"/>
      <c r="J70" s="37"/>
      <c r="T70" s="29"/>
      <c r="AB70" s="60"/>
      <c r="AC70" s="60"/>
      <c r="AD70" s="60"/>
      <c r="AE70" s="60"/>
      <c r="AF70" s="60"/>
      <c r="AG70" s="60"/>
      <c r="AH70" s="60"/>
    </row>
    <row r="71" spans="1:34" s="36" customFormat="1" ht="14.25" thickBot="1" x14ac:dyDescent="0.2">
      <c r="I71" s="37"/>
      <c r="J71" s="37"/>
      <c r="K71" s="4"/>
      <c r="L71" s="4"/>
      <c r="M71" s="4"/>
      <c r="N71" s="4"/>
      <c r="O71" s="4"/>
      <c r="P71" s="4"/>
      <c r="Q71" s="4"/>
      <c r="R71" s="4"/>
      <c r="T71" s="29"/>
      <c r="U71" s="4"/>
      <c r="V71"/>
      <c r="W71"/>
      <c r="X71"/>
      <c r="AB71" s="61"/>
      <c r="AC71" s="61"/>
      <c r="AD71" s="61"/>
      <c r="AE71" s="61"/>
      <c r="AF71" s="61"/>
      <c r="AG71" s="61"/>
      <c r="AH71" s="61"/>
    </row>
    <row r="72" spans="1:34" s="36" customFormat="1" ht="13.5" x14ac:dyDescent="0.15">
      <c r="A72" s="98" t="s">
        <v>28</v>
      </c>
      <c r="B72" s="86"/>
      <c r="C72" s="63">
        <v>104.71</v>
      </c>
      <c r="D72" s="63"/>
      <c r="E72" s="63"/>
      <c r="F72" s="63"/>
      <c r="G72" s="64"/>
      <c r="H72" s="4"/>
      <c r="I72" s="37"/>
      <c r="J72" s="37"/>
      <c r="K72"/>
      <c r="L72"/>
      <c r="T72" s="29"/>
      <c r="U72" s="4"/>
      <c r="V72"/>
      <c r="W72"/>
      <c r="X72"/>
      <c r="Y72"/>
      <c r="AB72" s="61"/>
      <c r="AC72" s="61"/>
      <c r="AD72" s="61"/>
      <c r="AE72" s="61"/>
      <c r="AF72" s="61"/>
      <c r="AG72" s="61"/>
      <c r="AH72" s="61"/>
    </row>
    <row r="73" spans="1:34" s="36" customFormat="1" ht="13.5" x14ac:dyDescent="0.15">
      <c r="A73" s="99"/>
      <c r="B73" s="87"/>
      <c r="C73" s="43" t="s">
        <v>29</v>
      </c>
      <c r="D73" s="43"/>
      <c r="E73" s="43"/>
      <c r="F73" s="43"/>
      <c r="G73" s="65"/>
      <c r="H73" s="4"/>
      <c r="I73" s="29"/>
      <c r="J73" s="29"/>
      <c r="K73"/>
      <c r="L73"/>
      <c r="M73"/>
      <c r="T73" s="29"/>
      <c r="U73" s="4"/>
      <c r="V73"/>
      <c r="W73"/>
      <c r="X73"/>
      <c r="Y73"/>
      <c r="AB73" s="61"/>
      <c r="AC73" s="61"/>
      <c r="AD73" s="61"/>
      <c r="AE73" s="61"/>
      <c r="AF73" s="61"/>
      <c r="AG73" s="61"/>
      <c r="AH73" s="61"/>
    </row>
    <row r="74" spans="1:34" s="4" customFormat="1" ht="17.45" customHeight="1" x14ac:dyDescent="0.15">
      <c r="A74" s="99"/>
      <c r="B74" s="88"/>
      <c r="C74" s="44">
        <v>104.73</v>
      </c>
      <c r="D74" s="44"/>
      <c r="E74" s="44"/>
      <c r="F74" s="44"/>
      <c r="G74" s="65"/>
      <c r="I74" s="29"/>
      <c r="J74" s="29"/>
      <c r="K74"/>
      <c r="L74"/>
      <c r="M74"/>
      <c r="N74" s="36"/>
      <c r="O74" s="36"/>
      <c r="P74" s="36"/>
      <c r="Q74" s="36"/>
      <c r="R74" s="36"/>
      <c r="AB74" s="60"/>
      <c r="AC74" s="60"/>
      <c r="AD74" s="60"/>
      <c r="AE74" s="60"/>
      <c r="AF74" s="60"/>
      <c r="AG74" s="60"/>
      <c r="AH74" s="60"/>
    </row>
    <row r="75" spans="1:34" s="4" customFormat="1" ht="6.75" customHeight="1" x14ac:dyDescent="0.15">
      <c r="A75" s="77"/>
      <c r="B75" s="78"/>
      <c r="C75" s="44"/>
      <c r="D75" s="44"/>
      <c r="E75" s="44"/>
      <c r="F75" s="44"/>
      <c r="G75" s="65"/>
      <c r="I75" s="29"/>
      <c r="J75" s="29"/>
      <c r="AB75" s="60"/>
      <c r="AC75" s="60"/>
      <c r="AD75" s="60"/>
      <c r="AE75" s="60"/>
      <c r="AF75" s="60"/>
      <c r="AG75" s="60"/>
      <c r="AH75" s="60"/>
    </row>
    <row r="76" spans="1:34" s="4" customFormat="1" ht="17.45" customHeight="1" thickBot="1" x14ac:dyDescent="0.2">
      <c r="A76" s="3" t="s">
        <v>31</v>
      </c>
      <c r="B76" s="45"/>
      <c r="C76" s="45"/>
      <c r="D76" s="45"/>
      <c r="E76" s="45"/>
      <c r="F76" s="45"/>
      <c r="G76" s="62"/>
      <c r="I76" s="29"/>
      <c r="J76" s="29"/>
      <c r="AB76" s="60"/>
      <c r="AC76" s="60"/>
      <c r="AD76" s="60"/>
      <c r="AE76" s="60"/>
      <c r="AF76" s="60"/>
      <c r="AG76" s="60"/>
      <c r="AH76" s="60"/>
    </row>
    <row r="77" spans="1:34" s="4" customFormat="1" ht="7.5" customHeight="1" x14ac:dyDescent="0.15">
      <c r="A77" s="35" t="s">
        <v>20</v>
      </c>
      <c r="B77" s="36"/>
      <c r="C77" s="36"/>
      <c r="D77" s="36"/>
      <c r="E77" s="36"/>
      <c r="F77" s="36"/>
      <c r="G77" s="36"/>
      <c r="H77" s="36"/>
      <c r="I77" s="29"/>
      <c r="J77" s="29"/>
      <c r="AB77" s="60"/>
      <c r="AC77" s="60"/>
      <c r="AD77" s="60"/>
      <c r="AE77" s="60"/>
      <c r="AF77" s="60"/>
      <c r="AG77" s="60"/>
      <c r="AH77" s="60"/>
    </row>
    <row r="78" spans="1:34" s="4" customFormat="1" ht="13.5" x14ac:dyDescent="0.15">
      <c r="A78" s="36"/>
      <c r="B78" s="37"/>
      <c r="C78" s="36"/>
      <c r="D78" s="36"/>
      <c r="E78" s="36"/>
      <c r="F78" s="36"/>
      <c r="G78" s="36"/>
      <c r="H78" s="36"/>
      <c r="I78" s="37"/>
      <c r="J78" s="37"/>
      <c r="AB78" s="60"/>
      <c r="AC78" s="60"/>
      <c r="AD78" s="60"/>
      <c r="AE78" s="60"/>
      <c r="AF78" s="60"/>
      <c r="AG78" s="60"/>
      <c r="AH78" s="60"/>
    </row>
    <row r="79" spans="1:34" s="36" customFormat="1" ht="14.25" thickBot="1" x14ac:dyDescent="0.2">
      <c r="A79"/>
      <c r="B79"/>
      <c r="C79"/>
      <c r="D79"/>
      <c r="E79"/>
      <c r="F79"/>
      <c r="G79"/>
      <c r="H79"/>
      <c r="I79" s="37"/>
      <c r="J79" s="37"/>
      <c r="K79" s="4"/>
      <c r="L79" s="4"/>
      <c r="M79" s="4"/>
      <c r="N79" s="4"/>
      <c r="O79" s="4"/>
      <c r="P79" s="4"/>
      <c r="Q79" s="4"/>
      <c r="R79" s="4"/>
      <c r="AB79" s="61"/>
      <c r="AC79" s="61"/>
      <c r="AD79" s="61"/>
      <c r="AE79" s="61"/>
      <c r="AF79" s="61"/>
      <c r="AG79" s="61"/>
      <c r="AH79" s="61"/>
    </row>
    <row r="80" spans="1:34" s="36" customFormat="1" ht="13.5" x14ac:dyDescent="0.15">
      <c r="A80" s="96" t="s">
        <v>36</v>
      </c>
      <c r="B80" s="89"/>
      <c r="C80" s="70">
        <v>103.87</v>
      </c>
      <c r="D80" s="75"/>
      <c r="E80" s="75"/>
      <c r="F80" s="81"/>
      <c r="G80" s="9"/>
      <c r="H80" s="4"/>
      <c r="I80" s="23"/>
      <c r="J80" s="23"/>
      <c r="AB80" s="61"/>
      <c r="AC80" s="61"/>
      <c r="AD80" s="61"/>
      <c r="AE80" s="61"/>
      <c r="AF80" s="61"/>
      <c r="AG80" s="61"/>
      <c r="AH80" s="61"/>
    </row>
    <row r="81" spans="1:34" ht="13.5" x14ac:dyDescent="0.15">
      <c r="A81" s="97"/>
      <c r="B81" s="90"/>
      <c r="C81" s="10" t="s">
        <v>22</v>
      </c>
      <c r="D81" s="10"/>
      <c r="E81" s="10"/>
      <c r="F81" s="10"/>
      <c r="G81" s="11"/>
      <c r="H81" s="4"/>
      <c r="I81" s="29"/>
      <c r="J81" s="29"/>
    </row>
    <row r="82" spans="1:34" s="4" customFormat="1" ht="17.25" customHeight="1" x14ac:dyDescent="0.15">
      <c r="A82" s="97"/>
      <c r="B82" s="91"/>
      <c r="C82" s="69">
        <v>109.41</v>
      </c>
      <c r="D82" s="76"/>
      <c r="E82" s="76"/>
      <c r="F82" s="82"/>
      <c r="G82" s="12"/>
      <c r="I82" s="29"/>
      <c r="J82" s="29"/>
      <c r="N82" s="36"/>
      <c r="O82" s="36"/>
      <c r="P82" s="36"/>
      <c r="Q82" s="36"/>
      <c r="R82" s="36"/>
      <c r="T82" s="29"/>
      <c r="AB82" s="60"/>
      <c r="AC82" s="60"/>
      <c r="AD82" s="60"/>
      <c r="AE82" s="60"/>
      <c r="AF82" s="60"/>
      <c r="AG82" s="60"/>
      <c r="AH82" s="60"/>
    </row>
    <row r="83" spans="1:34" s="4" customFormat="1" ht="8.25" customHeight="1" x14ac:dyDescent="0.15">
      <c r="A83" s="74"/>
      <c r="B83" s="76"/>
      <c r="C83" s="76"/>
      <c r="D83" s="76"/>
      <c r="E83" s="76"/>
      <c r="F83" s="82"/>
      <c r="G83" s="12"/>
      <c r="I83" s="29"/>
      <c r="J83" s="29"/>
      <c r="T83" s="29"/>
      <c r="AB83" s="60"/>
      <c r="AC83" s="60"/>
      <c r="AD83" s="60"/>
      <c r="AE83" s="60"/>
      <c r="AF83" s="60"/>
      <c r="AG83" s="60"/>
      <c r="AH83" s="60"/>
    </row>
    <row r="84" spans="1:34" s="4" customFormat="1" ht="14.25" thickBot="1" x14ac:dyDescent="0.2">
      <c r="A84" s="13" t="s">
        <v>37</v>
      </c>
      <c r="B84" s="14"/>
      <c r="C84" s="14"/>
      <c r="D84" s="14"/>
      <c r="E84" s="14"/>
      <c r="F84" s="14"/>
      <c r="G84" s="15"/>
      <c r="I84" s="29"/>
      <c r="J84" s="29"/>
      <c r="T84" s="29"/>
      <c r="AB84" s="60"/>
      <c r="AC84" s="60"/>
      <c r="AD84" s="60"/>
      <c r="AE84" s="60"/>
      <c r="AF84" s="60"/>
      <c r="AG84" s="60"/>
      <c r="AH84" s="60"/>
    </row>
    <row r="85" spans="1:34" s="4" customFormat="1" ht="9.75" customHeight="1" x14ac:dyDescent="0.15">
      <c r="A85" s="35" t="s">
        <v>20</v>
      </c>
      <c r="B85" s="36"/>
      <c r="C85" s="36"/>
      <c r="D85" s="36"/>
      <c r="E85" s="36"/>
      <c r="F85" s="36"/>
      <c r="G85" s="36"/>
      <c r="H85"/>
      <c r="I85" s="29"/>
      <c r="J85" s="29"/>
      <c r="T85" s="29"/>
      <c r="AB85" s="60"/>
      <c r="AC85" s="60"/>
      <c r="AD85" s="60"/>
      <c r="AE85" s="60"/>
      <c r="AF85" s="60"/>
      <c r="AG85" s="60"/>
      <c r="AH85" s="60"/>
    </row>
    <row r="86" spans="1:34" s="4" customFormat="1" ht="13.5" x14ac:dyDescent="0.15">
      <c r="A86" s="35"/>
      <c r="B86" s="36"/>
      <c r="C86" s="36"/>
      <c r="D86" s="36"/>
      <c r="E86" s="36"/>
      <c r="F86" s="36"/>
      <c r="G86" s="36"/>
      <c r="H86"/>
      <c r="I86" s="23"/>
      <c r="J86" s="23"/>
      <c r="T86" s="29"/>
      <c r="AB86" s="60"/>
      <c r="AC86" s="60"/>
      <c r="AD86" s="60"/>
      <c r="AE86" s="60"/>
      <c r="AF86" s="60"/>
      <c r="AG86" s="60"/>
      <c r="AH86" s="60"/>
    </row>
    <row r="87" spans="1:34" ht="14.25" thickBot="1" x14ac:dyDescent="0.2"/>
    <row r="88" spans="1:34" ht="13.5" x14ac:dyDescent="0.15">
      <c r="A88" s="98" t="s">
        <v>44</v>
      </c>
      <c r="B88" s="86"/>
      <c r="C88" s="63">
        <v>112.67</v>
      </c>
      <c r="D88" s="63"/>
      <c r="E88" s="63"/>
      <c r="F88" s="63"/>
      <c r="G88" s="64"/>
      <c r="H88" s="4"/>
    </row>
    <row r="89" spans="1:34" ht="17.25" customHeight="1" x14ac:dyDescent="0.15">
      <c r="A89" s="99"/>
      <c r="B89" s="87"/>
      <c r="C89" s="43" t="s">
        <v>29</v>
      </c>
      <c r="D89" s="43"/>
      <c r="E89" s="43"/>
      <c r="F89" s="43"/>
      <c r="G89" s="65"/>
      <c r="H89" s="4"/>
      <c r="I89" s="29"/>
      <c r="J89" s="29"/>
    </row>
    <row r="90" spans="1:34" s="4" customFormat="1" ht="17.25" customHeight="1" x14ac:dyDescent="0.15">
      <c r="A90" s="99"/>
      <c r="B90" s="88"/>
      <c r="C90" s="44">
        <v>112.74</v>
      </c>
      <c r="D90" s="44"/>
      <c r="E90" s="44"/>
      <c r="F90" s="44"/>
      <c r="G90" s="65"/>
      <c r="I90" s="29"/>
      <c r="J90" s="29"/>
      <c r="N90" s="36"/>
      <c r="O90" s="36"/>
      <c r="P90" s="36"/>
      <c r="Q90" s="36"/>
      <c r="R90" s="36"/>
      <c r="T90" s="29"/>
      <c r="AB90" s="60"/>
      <c r="AC90" s="60"/>
      <c r="AD90" s="60"/>
      <c r="AE90" s="60"/>
      <c r="AF90" s="60"/>
      <c r="AG90" s="60"/>
      <c r="AH90" s="60"/>
    </row>
    <row r="91" spans="1:34" s="4" customFormat="1" ht="8.25" customHeight="1" x14ac:dyDescent="0.15">
      <c r="A91" s="77"/>
      <c r="B91" s="78"/>
      <c r="C91" s="44"/>
      <c r="D91" s="44"/>
      <c r="E91" s="44"/>
      <c r="F91" s="44"/>
      <c r="G91" s="65"/>
      <c r="I91" s="29"/>
      <c r="J91" s="29"/>
      <c r="T91" s="29"/>
      <c r="AB91" s="60"/>
      <c r="AC91" s="60"/>
      <c r="AD91" s="60"/>
      <c r="AE91" s="60"/>
      <c r="AF91" s="60"/>
      <c r="AG91" s="60"/>
      <c r="AH91" s="60"/>
    </row>
    <row r="92" spans="1:34" s="4" customFormat="1" ht="14.25" thickBot="1" x14ac:dyDescent="0.2">
      <c r="A92" s="3" t="s">
        <v>45</v>
      </c>
      <c r="B92" s="45"/>
      <c r="C92" s="45"/>
      <c r="D92" s="45"/>
      <c r="E92" s="45"/>
      <c r="F92" s="45"/>
      <c r="G92" s="62"/>
      <c r="I92" s="29"/>
      <c r="J92" s="29"/>
      <c r="T92" s="29"/>
      <c r="AB92" s="60"/>
      <c r="AC92" s="60"/>
      <c r="AD92" s="60"/>
      <c r="AE92" s="60"/>
      <c r="AF92" s="60"/>
      <c r="AG92" s="60"/>
      <c r="AH92" s="60"/>
    </row>
    <row r="93" spans="1:34" s="4" customFormat="1" ht="9.75" customHeight="1" x14ac:dyDescent="0.15">
      <c r="A93" s="35" t="s">
        <v>20</v>
      </c>
      <c r="B93"/>
      <c r="C93"/>
      <c r="D93"/>
      <c r="E93"/>
      <c r="F93"/>
      <c r="G93"/>
      <c r="H93"/>
      <c r="I93" s="29"/>
      <c r="J93" s="29"/>
      <c r="T93" s="29"/>
      <c r="AB93" s="60"/>
      <c r="AC93" s="60"/>
      <c r="AD93" s="60"/>
      <c r="AE93" s="60"/>
      <c r="AF93" s="60"/>
      <c r="AG93" s="60"/>
      <c r="AH93" s="60"/>
    </row>
    <row r="94" spans="1:34" s="4" customFormat="1" ht="13.5" x14ac:dyDescent="0.15">
      <c r="A94"/>
      <c r="B94"/>
      <c r="C94"/>
      <c r="D94"/>
      <c r="E94"/>
      <c r="F94"/>
      <c r="G94"/>
      <c r="H94"/>
      <c r="I94" s="23"/>
      <c r="J94" s="23"/>
      <c r="T94" s="29"/>
      <c r="AB94" s="60"/>
      <c r="AC94" s="60"/>
      <c r="AD94" s="60"/>
      <c r="AE94" s="60"/>
      <c r="AF94" s="60"/>
      <c r="AG94" s="60"/>
      <c r="AH94" s="60"/>
    </row>
  </sheetData>
  <mergeCells count="9">
    <mergeCell ref="A64:A66"/>
    <mergeCell ref="A88:A90"/>
    <mergeCell ref="A72:A74"/>
    <mergeCell ref="A80:A82"/>
    <mergeCell ref="A1:G1"/>
    <mergeCell ref="A2:G2"/>
    <mergeCell ref="G4:G5"/>
    <mergeCell ref="A48:A50"/>
    <mergeCell ref="A56:A58"/>
  </mergeCells>
  <phoneticPr fontId="5" type="noConversion"/>
  <printOptions horizontalCentered="1"/>
  <pageMargins left="0" right="0" top="0.27559055118110237" bottom="0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2026년 3월</vt:lpstr>
      <vt:lpstr>'2026년 3월'!Print_Area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박혜정</cp:lastModifiedBy>
  <cp:lastPrinted>2026-03-06T00:41:33Z</cp:lastPrinted>
  <dcterms:created xsi:type="dcterms:W3CDTF">2012-01-02T00:51:16Z</dcterms:created>
  <dcterms:modified xsi:type="dcterms:W3CDTF">2026-03-06T00:57:56Z</dcterms:modified>
</cp:coreProperties>
</file>